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80" windowWidth="16380" windowHeight="8200" activeTab="6"/>
  </bookViews>
  <sheets>
    <sheet sheetId="1" name="Start Here" state="visible" r:id="rId4"/>
    <sheet sheetId="2" name="Dashboard" state="visible" r:id="rId5"/>
    <sheet sheetId="3" name="Settings" state="visible" r:id="rId6"/>
    <sheet sheetId="4" name="Daily Sales" state="visible" r:id="rId7"/>
    <sheet sheetId="5" name="Expenses" state="visible" r:id="rId8"/>
    <sheet sheetId="6" name="Loan" state="visible" r:id="rId9"/>
    <sheet sheetId="7" name="Monthly Summary" state="visible" r:id="rId10"/>
  </sheets>
  <calcPr calcId="171027"/>
</workbook>
</file>

<file path=xl/sharedStrings.xml><?xml version="1.0" encoding="utf-8"?>
<sst xmlns="http://schemas.openxmlformats.org/spreadsheetml/2006/main" count="218" uniqueCount="169">
  <si>
    <t>DIPZ Business Tracker</t>
  </si>
  <si>
    <t>Record sales and expenses. Profit, loan balance and checks calculate on their own.</t>
  </si>
  <si>
    <t>How to use it</t>
  </si>
  <si>
    <t>1. After each selling session, add ONE row in the 'Daily Sales' sheet. Fill only the yellow columns (A to J).</t>
  </si>
  <si>
    <t>2. Every time you spend money or pay someone, add ONE row in the 'Expenses' sheet. Fill only the yellow columns (A to F).</t>
  </si>
  <si>
    <t>3. Open the 'Dashboard' sheet, pick a month, and see revenue, expenses, profit, the loan balance and any warnings.</t>
  </si>
  <si>
    <t>4. 'Monthly Summary' shows all 12 months side by side. 'Loan' shows your repayment schedule. You do not type in these two.</t>
  </si>
  <si>
    <t>Colour guide</t>
  </si>
  <si>
    <t>Yellow cell = type here</t>
  </si>
  <si>
    <t>Grey cell = automatic, do not type</t>
  </si>
  <si>
    <t>Red CHECK = the numbers do not add up, look at that row</t>
  </si>
  <si>
    <t>Rules that keep the numbers right</t>
  </si>
  <si>
    <t>- One row in Daily Sales = one venue on one day. If you sell at two venues in one day, use two rows.</t>
  </si>
  <si>
    <t>- Put free samples and giveaways in the 'Free units' column. They use bananas but earn nothing, so the stock check needs them.</t>
  </si>
  <si>
    <t>- STOCK CHECK: bananas used (start minus left) should equal units sold plus free units. A positive gap means bananas are missing.</t>
  </si>
  <si>
    <t>- MONEY CHECK: cash plus digital payments should equal the revenue calculated from units sold. Any difference is flagged.</t>
  </si>
  <si>
    <t>- Record cart, freezer and other startup purchases with the category 'Equipment and cart (startup)'. They are kept out of monthly profit.</t>
  </si>
  <si>
    <t>- Record each loan installment in Expenses with the category 'Loan installment'. The Loan sheet then updates the balance.</t>
  </si>
  <si>
    <t>- Record money you take out for yourself as 'Owner withdrawal'. It is not a business expense, so it does not reduce profit.</t>
  </si>
  <si>
    <t>- If your prices change, add a new row in the Settings price list with the date the new prices start. Old rows keep their old prices.</t>
  </si>
  <si>
    <t>- The grey 'Example' row at the top of each table shows the format. It is not counted, so you can leave it or delete it.</t>
  </si>
  <si>
    <t>- Daily Sales holds 1,000 rows and Expenses holds 2,000 rows, which covers about three years.</t>
  </si>
  <si>
    <t>First, go to the Settings sheet and check the yellow cells: your tracking start month, prices, venue shares and loan details.</t>
  </si>
  <si>
    <t>Dashboard</t>
  </si>
  <si>
    <t>Pick a month to see it. The year-to-date block covers all months.</t>
  </si>
  <si>
    <t>Month to show (pick from the list)</t>
  </si>
  <si>
    <t>Month position (helper)</t>
  </si>
  <si>
    <t>Selected month</t>
  </si>
  <si>
    <t>Revenue</t>
  </si>
  <si>
    <t>Venue share</t>
  </si>
  <si>
    <t>Operating expenses</t>
  </si>
  <si>
    <t>Operating profit</t>
  </si>
  <si>
    <t>Loan installments paid</t>
  </si>
  <si>
    <t>Net profit after loan</t>
  </si>
  <si>
    <t>Net margin</t>
  </si>
  <si>
    <t>Units sold</t>
  </si>
  <si>
    <t>Average units per session</t>
  </si>
  <si>
    <t>Average selling price</t>
  </si>
  <si>
    <t>Actual cost per unit</t>
  </si>
  <si>
    <t>Units as % of plan</t>
  </si>
  <si>
    <t>Stock checks flagged</t>
  </si>
  <si>
    <t>Money checks flagged</t>
  </si>
  <si>
    <t>Year to date (all months)</t>
  </si>
  <si>
    <t>Capital spent so far</t>
  </si>
  <si>
    <t>Startup budget</t>
  </si>
  <si>
    <t>Startup budget used</t>
  </si>
  <si>
    <t>Share of capital spent earned back by profit</t>
  </si>
  <si>
    <t>Loan balance remaining</t>
  </si>
  <si>
    <t>Installments paid</t>
  </si>
  <si>
    <t>Data warnings (all months, should all be 0)</t>
  </si>
  <si>
    <t>Expense rows with a category to fix</t>
  </si>
  <si>
    <t>Sales rows with a venue not in the Settings list</t>
  </si>
  <si>
    <t>If a flag is not 0, open Daily Sales or Expenses and look for the red cells.</t>
  </si>
  <si>
    <t>Settings</t>
  </si>
  <si>
    <t>Yellow cells are yours to change. Everything else in the workbook reads from here.</t>
  </si>
  <si>
    <t>General</t>
  </si>
  <si>
    <t>Business name</t>
  </si>
  <si>
    <t>DIPZ</t>
  </si>
  <si>
    <t>First month to track (type the 1st of the month)</t>
  </si>
  <si>
    <t>Plan: units per month</t>
  </si>
  <si>
    <t>From your profit plan</t>
  </si>
  <si>
    <t>Plan: net profit per month</t>
  </si>
  <si>
    <t>Plan: cost per unit (ingredients and packaging)</t>
  </si>
  <si>
    <t>From you</t>
  </si>
  <si>
    <t>Startup budget (capital and launch spend)</t>
  </si>
  <si>
    <t>From you: cart 260k, freezer 100k, equipment 25k, marketing 25k, videos 50k</t>
  </si>
  <si>
    <t>Loan</t>
  </si>
  <si>
    <t>Loan amount</t>
  </si>
  <si>
    <t>Annual interest rate</t>
  </si>
  <si>
    <t>Indicative. Replace with the bank's actual rate.</t>
  </si>
  <si>
    <t>Term (months)</t>
  </si>
  <si>
    <t>Indicative. Replace with the bank's actual term.</t>
  </si>
  <si>
    <t>First installment date</t>
  </si>
  <si>
    <t>Monthly installment</t>
  </si>
  <si>
    <t>Price list (add a new row when prices change)</t>
  </si>
  <si>
    <t>Effective from</t>
  </si>
  <si>
    <t>Standard price</t>
  </si>
  <si>
    <t>Premium price</t>
  </si>
  <si>
    <t>The first row must start on or before your first selling day. Keep the dates in order, oldest first.</t>
  </si>
  <si>
    <t>Venues (revenue share the venue takes)</t>
  </si>
  <si>
    <t>Venue</t>
  </si>
  <si>
    <t>Venue share %</t>
  </si>
  <si>
    <t>Shakshuka Food Park</t>
  </si>
  <si>
    <t>From the venue's stated terms</t>
  </si>
  <si>
    <t>BMICH event</t>
  </si>
  <si>
    <t>Stall fees are not a share, so record them in Expenses</t>
  </si>
  <si>
    <t>Other venue</t>
  </si>
  <si>
    <t>Expense categories</t>
  </si>
  <si>
    <t>Category</t>
  </si>
  <si>
    <t>Type</t>
  </si>
  <si>
    <t>Type must be Operating, Capital, Loan or Owner. Operating counts against profit. Do not change the first 12 rows' types.</t>
  </si>
  <si>
    <t>Ingredients</t>
  </si>
  <si>
    <t>Operating</t>
  </si>
  <si>
    <t>Packaging</t>
  </si>
  <si>
    <t>Staff pay</t>
  </si>
  <si>
    <t>Utilities</t>
  </si>
  <si>
    <t>Marketing</t>
  </si>
  <si>
    <t>Transport</t>
  </si>
  <si>
    <t>Repairs and supplies</t>
  </si>
  <si>
    <t>Permits and registration</t>
  </si>
  <si>
    <t>Other operating</t>
  </si>
  <si>
    <t>Equipment and cart (startup)</t>
  </si>
  <si>
    <t>Capital</t>
  </si>
  <si>
    <t>Loan installment</t>
  </si>
  <si>
    <t>Owner withdrawal</t>
  </si>
  <si>
    <t>Owner</t>
  </si>
  <si>
    <t>Payment methods</t>
  </si>
  <si>
    <t>Cash</t>
  </si>
  <si>
    <t>Bank transfer</t>
  </si>
  <si>
    <t>Card</t>
  </si>
  <si>
    <t>Owner's own pocket</t>
  </si>
  <si>
    <t>Daily Sales</t>
  </si>
  <si>
    <t>One row per venue per day. Fill the yellow columns only. Grey columns calculate by themselves.</t>
  </si>
  <si>
    <t>Date</t>
  </si>
  <si>
    <t>Standard sold</t>
  </si>
  <si>
    <t>Premium sold</t>
  </si>
  <si>
    <t>Free units given</t>
  </si>
  <si>
    <t>Bananas at start</t>
  </si>
  <si>
    <t>Bananas left</t>
  </si>
  <si>
    <t>Cash collected</t>
  </si>
  <si>
    <t>Digital payments</t>
  </si>
  <si>
    <t>Notes</t>
  </si>
  <si>
    <t>Stock gap</t>
  </si>
  <si>
    <t>Stock check</t>
  </si>
  <si>
    <t>Money gap</t>
  </si>
  <si>
    <t>Money check</t>
  </si>
  <si>
    <t>EXAMPLE ROW, not counted</t>
  </si>
  <si>
    <t>OK</t>
  </si>
  <si>
    <t>Test sync order</t>
  </si>
  <si>
    <t>Expenses</t>
  </si>
  <si>
    <t>One row per payment. Fill the yellow columns only. The Type column fills itself from the category.</t>
  </si>
  <si>
    <t>What it was for</t>
  </si>
  <si>
    <t>Amount (LKR)</t>
  </si>
  <si>
    <t>Paid from</t>
  </si>
  <si>
    <t>Bananas for 2 days</t>
  </si>
  <si>
    <t>Schedule from your Settings. The balance moves each time you record an installment in Expenses.</t>
  </si>
  <si>
    <t>Total interest over the loan</t>
  </si>
  <si>
    <t>Installments recorded in Expenses</t>
  </si>
  <si>
    <t>Total repaid so far</t>
  </si>
  <si>
    <t>Estimated balance remaining</t>
  </si>
  <si>
    <t>Based on the number of installments recorded, following the schedule below.</t>
  </si>
  <si>
    <t>No.</t>
  </si>
  <si>
    <t>Due date</t>
  </si>
  <si>
    <t>Opening balance</t>
  </si>
  <si>
    <t>Interest</t>
  </si>
  <si>
    <t>Principal</t>
  </si>
  <si>
    <t>Installment</t>
  </si>
  <si>
    <t>Closing balance</t>
  </si>
  <si>
    <t>Monthly Summary</t>
  </si>
  <si>
    <t>Automatic. Months start from the 'First month to track' in Settings.</t>
  </si>
  <si>
    <t>Item</t>
  </si>
  <si>
    <t>Year total</t>
  </si>
  <si>
    <t>Sales</t>
  </si>
  <si>
    <t>Trading sessions logged</t>
  </si>
  <si>
    <t>Less: venue share</t>
  </si>
  <si>
    <t>Net sales after venue share</t>
  </si>
  <si>
    <t>Other operating categories you added</t>
  </si>
  <si>
    <t>Total operating expenses</t>
  </si>
  <si>
    <t>Profit</t>
  </si>
  <si>
    <t>Net margin (net profit / revenue)</t>
  </si>
  <si>
    <t>Money movements (not part of profit)</t>
  </si>
  <si>
    <t>Startup / capital spending</t>
  </si>
  <si>
    <t>Owner withdrawals</t>
  </si>
  <si>
    <t>Money left in business (net profit - capital - owner)</t>
  </si>
  <si>
    <t>Cumulative net profit</t>
  </si>
  <si>
    <t>Performance and checks</t>
  </si>
  <si>
    <t>Actual ingredient + packaging cost per unit</t>
  </si>
  <si>
    <t>Planned cost per unit</t>
  </si>
  <si>
    <t>Plan units (months with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</si>
</sst>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mm yyyy"/>
    <numFmt numFmtId="165" formatCode="#,##0;(#,##0);-"/>
    <numFmt numFmtId="166" formatCode="0.0%;(0.0%);-"/>
    <numFmt numFmtId="167" formatCode="0.0;(0.0);-"/>
    <numFmt numFmtId="168" formatCode="dd mmm yyyy"/>
  </numFmts>
  <fonts count="15" x14ac:knownFonts="1">
    <font>
      <color theme="1"/>
      <family val="2"/>
      <scheme val="minor"/>
      <sz val="11"/>
      <name val="Calibri"/>
    </font>
    <font>
      <b/>
      <charset val="1"/>
      <color rgb="FF4A2E1D"/>
      <sz val="14"/>
      <name val="Arial"/>
    </font>
    <font>
      <charset val="1"/>
      <color rgb="FF666666"/>
      <sz val="9"/>
      <name val="Arial"/>
    </font>
    <font>
      <b/>
      <charset val="1"/>
      <color rgb="FF4A2E1D"/>
      <sz val="12"/>
      <name val="Arial"/>
    </font>
    <font>
      <charset val="1"/>
      <color rgb="FF000000"/>
      <sz val="10"/>
      <name val="Arial"/>
    </font>
    <font>
      <charset val="1"/>
      <color rgb="FF0000FF"/>
      <sz val="10"/>
      <name val="Arial"/>
    </font>
    <font>
      <b/>
      <charset val="1"/>
      <color rgb="FFC00000"/>
      <sz val="10"/>
      <name val="Arial"/>
    </font>
    <font>
      <b/>
      <charset val="1"/>
      <color rgb="FF000000"/>
      <sz val="10"/>
      <name val="Arial"/>
    </font>
    <font>
      <b/>
      <charset val="1"/>
      <color rgb="FF0000FF"/>
      <sz val="10"/>
      <name val="Arial"/>
    </font>
    <font>
      <charset val="1"/>
      <color rgb="FF7F7F7F"/>
      <sz val="9"/>
      <name val="Arial"/>
    </font>
    <font>
      <charset val="1"/>
      <color theme="1"/>
      <family val="2"/>
      <sz val="11"/>
      <name val="Calibri"/>
    </font>
    <font>
      <charset val="1"/>
      <color rgb="FFC00000"/>
      <sz val="9"/>
      <name val="Arial"/>
    </font>
    <font>
      <b/>
      <charset val="1"/>
      <color rgb="FFFFFFFF"/>
      <sz val="10"/>
      <name val="Arial"/>
    </font>
    <font>
      <i/>
      <charset val="1"/>
      <color rgb="FF7F7F7F"/>
      <sz val="10"/>
      <name val="Arial"/>
    </font>
    <font>
      <charset val="1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59D"/>
        <bgColor rgb="FFFDF6E9"/>
      </patternFill>
    </fill>
    <fill>
      <patternFill patternType="solid">
        <fgColor rgb="FFF2F2F2"/>
        <bgColor rgb="FFFDF6E9"/>
      </patternFill>
    </fill>
    <fill>
      <patternFill patternType="solid">
        <fgColor rgb="FFF7C948"/>
        <bgColor rgb="FFFF9900"/>
      </patternFill>
    </fill>
    <fill>
      <patternFill patternType="solid">
        <fgColor rgb="FFFDF6E9"/>
        <bgColor rgb="FFF2F2F2"/>
      </patternFill>
    </fill>
    <fill>
      <patternFill patternType="solid">
        <fgColor rgb="FF4A2E1D"/>
        <bgColor rgb="FF333300"/>
      </patternFill>
    </fill>
    <fill>
      <patternFill patternType="solid">
        <fgColor rgb="FF7F7F7F"/>
        <bgColor rgb="FF878787"/>
      </patternFill>
    </fill>
    <fill>
      <patternFill patternType="solid">
        <fgColor rgb="FFE7E6E6"/>
        <bgColor rgb="FFF2F2F2"/>
      </patternFill>
    </fill>
    <fill>
      <patternFill patternType="solid">
        <fgColor theme="2" tint="-0.249977111117893"/>
        <bgColor rgb="FFF2F2F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2" borderId="1" xfId="0" applyFont="1" applyFill="1" applyBorder="1"/>
    <xf numFmtId="0" fontId="4" fillId="3" borderId="1" xfId="0" applyFont="1" applyFill="1" applyBorder="1"/>
    <xf numFmtId="0" fontId="6" fillId="0" borderId="1" xfId="0" applyFont="1" applyBorder="1"/>
    <xf numFmtId="0" fontId="7" fillId="0" borderId="0" xfId="0" applyFont="1" applyAlignment="1">
      <alignment vertical="center" wrapText="1"/>
    </xf>
    <xf numFmtId="0" fontId="7" fillId="0" borderId="0" xfId="0" applyFont="1"/>
    <xf numFmtId="164" fontId="8" fillId="2" borderId="1" xfId="0" applyNumberFormat="1" applyFont="1" applyFill="1" applyBorder="1"/>
    <xf numFmtId="0" fontId="9" fillId="0" borderId="0" xfId="0" applyFont="1"/>
    <xf numFmtId="1" fontId="9" fillId="0" borderId="0" xfId="0" applyNumberFormat="1" applyFont="1"/>
    <xf numFmtId="0" fontId="7" fillId="4" borderId="0" xfId="0" applyFont="1" applyFill="1"/>
    <xf numFmtId="0" fontId="10" fillId="4" borderId="0" xfId="0" applyFont="1" applyFill="1"/>
    <xf numFmtId="0" fontId="4" fillId="0" borderId="0" xfId="0" applyFont="1"/>
    <xf numFmtId="165" fontId="4" fillId="3" borderId="1" xfId="0" applyNumberFormat="1" applyFont="1" applyFill="1" applyBorder="1"/>
    <xf numFmtId="0" fontId="7" fillId="5" borderId="0" xfId="0" applyFont="1" applyFill="1"/>
    <xf numFmtId="165" fontId="7" fillId="5" borderId="1" xfId="0" applyNumberFormat="1" applyFont="1" applyFill="1" applyBorder="1"/>
    <xf numFmtId="166" fontId="4" fillId="3" borderId="1" xfId="0" applyNumberFormat="1" applyFont="1" applyFill="1" applyBorder="1"/>
    <xf numFmtId="167" fontId="4" fillId="3" borderId="1" xfId="0" applyNumberFormat="1" applyFont="1" applyFill="1" applyBorder="1"/>
    <xf numFmtId="0" fontId="11" fillId="0" borderId="0" xfId="0" applyFont="1"/>
    <xf numFmtId="168" fontId="5" fillId="2" borderId="1" xfId="0" applyNumberFormat="1" applyFont="1" applyFill="1" applyBorder="1"/>
    <xf numFmtId="165" fontId="5" fillId="2" borderId="1" xfId="0" applyNumberFormat="1" applyFont="1" applyFill="1" applyBorder="1"/>
    <xf numFmtId="166" fontId="5" fillId="2" borderId="1" xfId="0" applyNumberFormat="1" applyFont="1" applyFill="1" applyBorder="1"/>
    <xf numFmtId="0" fontId="12" fillId="6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168" fontId="13" fillId="8" borderId="0" xfId="0" applyNumberFormat="1" applyFont="1" applyFill="1"/>
    <xf numFmtId="0" fontId="13" fillId="8" borderId="0" xfId="0" applyFont="1" applyFill="1"/>
    <xf numFmtId="165" fontId="13" fillId="8" borderId="0" xfId="0" applyNumberFormat="1" applyFont="1" applyFill="1"/>
    <xf numFmtId="0" fontId="13" fillId="9" borderId="0" xfId="0" applyFont="1" applyFill="1"/>
    <xf numFmtId="0" fontId="14" fillId="3" borderId="1" xfId="0" applyFont="1" applyFill="1" applyBorder="1"/>
    <xf numFmtId="165" fontId="14" fillId="3" borderId="1" xfId="0" applyNumberFormat="1" applyFont="1" applyFill="1" applyBorder="1"/>
    <xf numFmtId="0" fontId="14" fillId="3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168" fontId="4" fillId="3" borderId="1" xfId="0" applyNumberFormat="1" applyFont="1" applyFill="1" applyBorder="1"/>
    <xf numFmtId="164" fontId="12" fillId="6" borderId="0" xfId="0" applyNumberFormat="1" applyFont="1" applyFill="1" applyAlignment="1">
      <alignment horizontal="center" vertical="center" wrapText="1"/>
    </xf>
    <xf numFmtId="165" fontId="4" fillId="0" borderId="1" xfId="0" applyNumberFormat="1" applyFont="1" applyBorder="1"/>
    <xf numFmtId="166" fontId="4" fillId="0" borderId="1" xfId="0" applyNumberFormat="1" applyFont="1" applyBorder="1"/>
    <xf numFmtId="166" fontId="7" fillId="5" borderId="1" xfId="0" applyNumberFormat="1" applyFont="1" applyFill="1" applyBorder="1"/>
    <xf numFmtId="167" fontId="4" fillId="0" borderId="1" xfId="0" applyNumberFormat="1" applyFont="1" applyBorder="1"/>
    <xf numFmtId="167" fontId="7" fillId="5" borderId="1" xfId="0" applyNumberFormat="1" applyFont="1" applyFill="1" applyBorder="1"/>
  </cellXfs>
  <cellStyles count="1">
    <cellStyle name="Normal" xfId="0" builtinId="0"/>
  </cellStyles>
  <dxfs count="5">
    <dxf>
      <font>
        <b/>
        <charset val="1"/>
        <color rgb="FF9C0006"/>
        <name val="Arial"/>
      </font>
      <fill>
        <patternFill>
          <bgColor rgb="FFFFC7CE"/>
        </patternFill>
      </fill>
    </dxf>
    <dxf>
      <font>
        <charset val="1"/>
        <color rgb="FF006100"/>
        <name val="Arial"/>
      </font>
      <fill>
        <patternFill>
          <bgColor rgb="FFC6EFCE"/>
        </patternFill>
      </fill>
    </dxf>
    <dxf>
      <font>
        <b/>
        <charset val="1"/>
        <color rgb="FF9C0006"/>
        <name val="Arial"/>
      </font>
      <fill>
        <patternFill>
          <bgColor rgb="FFFFC7CE"/>
        </patternFill>
      </fill>
    </dxf>
    <dxf>
      <font>
        <charset val="1"/>
        <color rgb="FF006100"/>
        <name val="Arial"/>
      </font>
      <fill>
        <patternFill>
          <bgColor rgb="FFC6EFCE"/>
        </patternFill>
      </fill>
    </dxf>
    <dxf>
      <font>
        <b/>
        <charset val="1"/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workbookViewId="0" zoomScale="100" zoomScaleNormal="100"/>
  </sheetViews>
  <sheetFormatPr defaultRowHeight="15" outlineLevelRow="0" outlineLevelCol="0" x14ac:dyDescent="0.2" defaultColWidth="8.6640625"/>
  <cols>
    <col min="1" max="1" width="120" customWidth="1"/>
  </cols>
  <sheetData>
    <row r="1" ht="18" customHeight="1" spans="1:1" x14ac:dyDescent="0.25">
      <c r="A1" s="1" t="s">
        <v>0</v>
      </c>
    </row>
    <row r="2" spans="1:1" x14ac:dyDescent="0.25">
      <c r="A2" s="2" t="s">
        <v>1</v>
      </c>
    </row>
    <row r="4" ht="16" customHeight="1" spans="1:1" x14ac:dyDescent="0.25">
      <c r="A4" s="3" t="s">
        <v>2</v>
      </c>
    </row>
    <row r="5" ht="27.75" customHeight="1" spans="1:1" x14ac:dyDescent="0.25">
      <c r="A5" s="4" t="s">
        <v>3</v>
      </c>
    </row>
    <row r="6" ht="27.75" customHeight="1" spans="1:1" x14ac:dyDescent="0.25">
      <c r="A6" s="4" t="s">
        <v>4</v>
      </c>
    </row>
    <row r="7" ht="27.75" customHeight="1" spans="1:1" x14ac:dyDescent="0.25">
      <c r="A7" s="4" t="s">
        <v>5</v>
      </c>
    </row>
    <row r="8" ht="27.75" customHeight="1" spans="1:1" x14ac:dyDescent="0.25">
      <c r="A8" s="4" t="s">
        <v>6</v>
      </c>
    </row>
    <row r="10" ht="16" customHeight="1" spans="1:1" x14ac:dyDescent="0.25">
      <c r="A10" s="3" t="s">
        <v>7</v>
      </c>
    </row>
    <row r="11" spans="1:1" x14ac:dyDescent="0.25">
      <c r="A11" s="5" t="s">
        <v>8</v>
      </c>
    </row>
    <row r="12" spans="1:1" x14ac:dyDescent="0.25">
      <c r="A12" s="6" t="s">
        <v>9</v>
      </c>
    </row>
    <row r="13" spans="1:1" x14ac:dyDescent="0.25">
      <c r="A13" s="7" t="s">
        <v>10</v>
      </c>
    </row>
    <row r="15" ht="16" customHeight="1" spans="1:1" x14ac:dyDescent="0.25">
      <c r="A15" s="3" t="s">
        <v>11</v>
      </c>
    </row>
    <row r="16" ht="27.75" customHeight="1" spans="1:1" x14ac:dyDescent="0.25">
      <c r="A16" s="4" t="s">
        <v>12</v>
      </c>
    </row>
    <row r="17" ht="27.75" customHeight="1" spans="1:1" x14ac:dyDescent="0.25">
      <c r="A17" s="4" t="s">
        <v>13</v>
      </c>
    </row>
    <row r="18" ht="27.75" customHeight="1" spans="1:1" x14ac:dyDescent="0.25">
      <c r="A18" s="4" t="s">
        <v>14</v>
      </c>
    </row>
    <row r="19" ht="27.75" customHeight="1" spans="1:1" x14ac:dyDescent="0.25">
      <c r="A19" s="4" t="s">
        <v>15</v>
      </c>
    </row>
    <row r="20" ht="27.75" customHeight="1" spans="1:1" x14ac:dyDescent="0.25">
      <c r="A20" s="4" t="s">
        <v>16</v>
      </c>
    </row>
    <row r="21" ht="27.75" customHeight="1" spans="1:1" x14ac:dyDescent="0.25">
      <c r="A21" s="4" t="s">
        <v>17</v>
      </c>
    </row>
    <row r="22" ht="27.75" customHeight="1" spans="1:1" x14ac:dyDescent="0.25">
      <c r="A22" s="4" t="s">
        <v>18</v>
      </c>
    </row>
    <row r="23" ht="27.75" customHeight="1" spans="1:1" x14ac:dyDescent="0.25">
      <c r="A23" s="4" t="s">
        <v>19</v>
      </c>
    </row>
    <row r="24" ht="27.75" customHeight="1" spans="1:1" x14ac:dyDescent="0.25">
      <c r="A24" s="4" t="s">
        <v>20</v>
      </c>
    </row>
    <row r="25" ht="27.75" customHeight="1" spans="1:1" x14ac:dyDescent="0.25">
      <c r="A25" s="4" t="s">
        <v>21</v>
      </c>
    </row>
    <row r="27" ht="27.75" customHeight="1" spans="1:1" x14ac:dyDescent="0.25">
      <c r="A27" s="8" t="s">
        <v>22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 zoomScale="100" zoomScaleNormal="100"/>
  </sheetViews>
  <sheetFormatPr defaultRowHeight="15" outlineLevelRow="0" outlineLevelCol="0" x14ac:dyDescent="0.2" defaultColWidth="8.6640625"/>
  <cols>
    <col min="1" max="1" width="46" customWidth="1"/>
    <col min="2" max="2" width="18" customWidth="1"/>
  </cols>
  <sheetData>
    <row r="1" ht="18" customHeight="1" spans="1:1" x14ac:dyDescent="0.25">
      <c r="A1" s="1" t="s">
        <v>23</v>
      </c>
    </row>
    <row r="2" spans="1:1" x14ac:dyDescent="0.25">
      <c r="A2" s="2" t="s">
        <v>24</v>
      </c>
    </row>
    <row r="3" spans="1:2" x14ac:dyDescent="0.25">
      <c r="A3" s="9" t="s">
        <v>25</v>
      </c>
      <c r="B3" s="10">
        <v>46327</v>
      </c>
    </row>
    <row r="4" spans="1:2" x14ac:dyDescent="0.25">
      <c r="A4" s="11" t="s">
        <v>26</v>
      </c>
      <c r="B4" s="12">
        <f>IFERROR(MATCH(B3,'Monthly Summary'!B5:M5,0),0)</f>
        <v>1</v>
      </c>
    </row>
    <row r="6" spans="1:2" x14ac:dyDescent="0.25">
      <c r="A6" s="13" t="s">
        <v>27</v>
      </c>
      <c r="B6" s="14"/>
    </row>
    <row r="7" spans="1:2" x14ac:dyDescent="0.25">
      <c r="A7" s="15" t="s">
        <v>28</v>
      </c>
      <c r="B7" s="16">
        <f>IFERROR(INDEX('Monthly Summary'!$B$10:$M$10,$B$4),0)</f>
        <v>90200</v>
      </c>
    </row>
    <row r="8" spans="1:2" x14ac:dyDescent="0.25">
      <c r="A8" s="15" t="s">
        <v>29</v>
      </c>
      <c r="B8" s="16">
        <f>IFERROR(INDEX('Monthly Summary'!$B$11:$M$11,$B$4),0)</f>
        <v>9020</v>
      </c>
    </row>
    <row r="9" spans="1:2" x14ac:dyDescent="0.25">
      <c r="A9" s="15" t="s">
        <v>30</v>
      </c>
      <c r="B9" s="16">
        <f>IFERROR(INDEX('Monthly Summary'!$B$24:$M$24,$B$4),0)</f>
        <v>0</v>
      </c>
    </row>
    <row r="10" spans="1:2" x14ac:dyDescent="0.25">
      <c r="A10" s="17" t="s">
        <v>31</v>
      </c>
      <c r="B10" s="18">
        <f>IFERROR(INDEX('Monthly Summary'!$B$26:$M$26,$B$4),0)</f>
        <v>81180</v>
      </c>
    </row>
    <row r="11" spans="1:2" x14ac:dyDescent="0.25">
      <c r="A11" s="15" t="s">
        <v>32</v>
      </c>
      <c r="B11" s="16">
        <f>IFERROR(INDEX('Monthly Summary'!$B$27:$M$27,$B$4),0)</f>
        <v>0</v>
      </c>
    </row>
    <row r="12" spans="1:2" x14ac:dyDescent="0.25">
      <c r="A12" s="17" t="s">
        <v>33</v>
      </c>
      <c r="B12" s="18">
        <f>IFERROR(INDEX('Monthly Summary'!$B$28:$M$28,$B$4),0)</f>
        <v>81180</v>
      </c>
    </row>
    <row r="13" spans="1:2" x14ac:dyDescent="0.25">
      <c r="A13" s="15" t="s">
        <v>34</v>
      </c>
      <c r="B13" s="19">
        <f>IFERROR(INDEX('Monthly Summary'!$B$29:$M$29,$B$4),0)</f>
        <v>0.9</v>
      </c>
    </row>
    <row r="14" spans="1:2" x14ac:dyDescent="0.25">
      <c r="A14" s="15" t="s">
        <v>35</v>
      </c>
      <c r="B14" s="16">
        <f>IFERROR(INDEX('Monthly Summary'!$B$8:$M$8,$B$4),0)</f>
        <v>167</v>
      </c>
    </row>
    <row r="15" spans="1:2" x14ac:dyDescent="0.25">
      <c r="A15" s="15" t="s">
        <v>36</v>
      </c>
      <c r="B15" s="20">
        <f>IFERROR(INDEX('Monthly Summary'!$B$39:$M$39,$B$4),0)</f>
        <v>41.75</v>
      </c>
    </row>
    <row r="16" spans="1:2" x14ac:dyDescent="0.25">
      <c r="A16" s="15" t="s">
        <v>37</v>
      </c>
      <c r="B16" s="16">
        <f>IFERROR(INDEX('Monthly Summary'!$B$36:$M$36,$B$4),0)</f>
        <v>540.1197604790419</v>
      </c>
    </row>
    <row r="17" spans="1:2" x14ac:dyDescent="0.25">
      <c r="A17" s="15" t="s">
        <v>38</v>
      </c>
      <c r="B17" s="16">
        <f>IFERROR(INDEX('Monthly Summary'!$B$37:$M$37,$B$4),0)</f>
        <v>0</v>
      </c>
    </row>
    <row r="18" spans="1:2" x14ac:dyDescent="0.25">
      <c r="A18" s="15" t="s">
        <v>39</v>
      </c>
      <c r="B18" s="19">
        <f>IFERROR(INDEX('Monthly Summary'!$B$41:$M$41,$B$4),0)</f>
        <v>0.15829383886255924</v>
      </c>
    </row>
    <row r="19" spans="1:2" x14ac:dyDescent="0.25">
      <c r="A19" s="15" t="s">
        <v>40</v>
      </c>
      <c r="B19" s="16">
        <f>IFERROR(INDEX('Monthly Summary'!$B$42:$M$42,$B$4),0)</f>
        <v>0</v>
      </c>
    </row>
    <row r="20" spans="1:2" x14ac:dyDescent="0.25">
      <c r="A20" s="15" t="s">
        <v>41</v>
      </c>
      <c r="B20" s="16">
        <f>IFERROR(INDEX('Monthly Summary'!$B$43:$M$43,$B$4),0)</f>
        <v>0</v>
      </c>
    </row>
    <row r="22" spans="1:2" x14ac:dyDescent="0.25">
      <c r="A22" s="13" t="s">
        <v>42</v>
      </c>
      <c r="B22" s="14"/>
    </row>
    <row r="23" spans="1:2" x14ac:dyDescent="0.25">
      <c r="A23" s="15" t="s">
        <v>28</v>
      </c>
      <c r="B23" s="16">
        <f>'Monthly Summary'!N10</f>
        <v>90200</v>
      </c>
    </row>
    <row r="24" spans="1:2" x14ac:dyDescent="0.25">
      <c r="A24" s="15" t="s">
        <v>30</v>
      </c>
      <c r="B24" s="16">
        <f>'Monthly Summary'!N24</f>
        <v>0</v>
      </c>
    </row>
    <row r="25" spans="1:2" x14ac:dyDescent="0.25">
      <c r="A25" s="17" t="s">
        <v>33</v>
      </c>
      <c r="B25" s="18">
        <f>'Monthly Summary'!N28</f>
        <v>81180</v>
      </c>
    </row>
    <row r="26" spans="1:2" x14ac:dyDescent="0.25">
      <c r="A26" s="15" t="s">
        <v>43</v>
      </c>
      <c r="B26" s="16">
        <f>'Monthly Summary'!N31</f>
        <v>0</v>
      </c>
    </row>
    <row r="27" spans="1:2" x14ac:dyDescent="0.25">
      <c r="A27" s="15" t="s">
        <v>44</v>
      </c>
      <c r="B27" s="16">
        <f>Settings!B10</f>
        <v>460000</v>
      </c>
    </row>
    <row r="28" spans="1:2" x14ac:dyDescent="0.25">
      <c r="A28" s="15" t="s">
        <v>45</v>
      </c>
      <c r="B28" s="19">
        <f>IF(B27=0,0,B26/B27)</f>
        <v>0</v>
      </c>
    </row>
    <row r="29" spans="1:2" x14ac:dyDescent="0.25">
      <c r="A29" s="15" t="s">
        <v>46</v>
      </c>
      <c r="B29" s="19">
        <f>IF(B26=0,0,B25/B26)</f>
        <v>0</v>
      </c>
    </row>
    <row r="30" spans="1:2" x14ac:dyDescent="0.25">
      <c r="A30" s="15" t="s">
        <v>47</v>
      </c>
      <c r="B30" s="16">
        <f>Loan!B10</f>
        <v>500000</v>
      </c>
    </row>
    <row r="31" spans="1:2" x14ac:dyDescent="0.25">
      <c r="A31" s="15" t="s">
        <v>48</v>
      </c>
      <c r="B31" s="16">
        <f>Loan!B8</f>
        <v>0</v>
      </c>
    </row>
    <row r="33" spans="1:2" x14ac:dyDescent="0.25">
      <c r="A33" s="13" t="s">
        <v>49</v>
      </c>
      <c r="B33" s="14"/>
    </row>
    <row r="34" spans="1:2" x14ac:dyDescent="0.25">
      <c r="A34" s="15" t="s">
        <v>50</v>
      </c>
      <c r="B34" s="16">
        <f>COUNTIF(Expenses!$G$6:$G$2005,"Check category")</f>
        <v>0</v>
      </c>
    </row>
    <row r="35" spans="1:2" x14ac:dyDescent="0.25">
      <c r="A35" s="15" t="s">
        <v>51</v>
      </c>
      <c r="B35" s="16">
        <f>SUMPRODUCT(('Daily Sales'!$A$6:$A$1005&lt;&gt;"")*(COUNTIF(Settings!$A$30:$A$36,'Daily Sales'!$B$6:$B$1005)=0))</f>
        <v>0</v>
      </c>
    </row>
    <row r="36" spans="1:1" x14ac:dyDescent="0.25">
      <c r="A36" s="21" t="s">
        <v>52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 zoomScale="100" zoomScaleNormal="100">
      <selection activeCell="B41" sqref="B41"/>
    </sheetView>
  </sheetViews>
  <sheetFormatPr defaultRowHeight="15" outlineLevelRow="0" outlineLevelCol="0" x14ac:dyDescent="0.2" defaultColWidth="8.6640625"/>
  <cols>
    <col min="1" max="1" width="52" customWidth="1"/>
    <col min="2" max="2" width="18" customWidth="1"/>
    <col min="3" max="3" width="70" customWidth="1"/>
  </cols>
  <sheetData>
    <row r="1" ht="18" customHeight="1" spans="1:1" x14ac:dyDescent="0.25">
      <c r="A1" s="1" t="s">
        <v>53</v>
      </c>
    </row>
    <row r="2" spans="1:1" x14ac:dyDescent="0.25">
      <c r="A2" s="2" t="s">
        <v>54</v>
      </c>
    </row>
    <row r="4" spans="1:3" x14ac:dyDescent="0.25">
      <c r="A4" s="13" t="s">
        <v>55</v>
      </c>
      <c r="B4" s="14"/>
      <c r="C4" s="14"/>
    </row>
    <row r="5" spans="1:2" x14ac:dyDescent="0.25">
      <c r="A5" s="15" t="s">
        <v>56</v>
      </c>
      <c r="B5" s="5" t="s">
        <v>57</v>
      </c>
    </row>
    <row r="6" spans="1:2" x14ac:dyDescent="0.25">
      <c r="A6" s="15" t="s">
        <v>58</v>
      </c>
      <c r="B6" s="22">
        <v>46327</v>
      </c>
    </row>
    <row r="7" spans="1:3" x14ac:dyDescent="0.25">
      <c r="A7" s="15" t="s">
        <v>59</v>
      </c>
      <c r="B7" s="23">
        <v>1055</v>
      </c>
      <c r="C7" s="2" t="s">
        <v>60</v>
      </c>
    </row>
    <row r="8" spans="1:3" x14ac:dyDescent="0.25">
      <c r="A8" s="15" t="s">
        <v>61</v>
      </c>
      <c r="B8" s="23">
        <v>261818</v>
      </c>
      <c r="C8" s="2" t="s">
        <v>60</v>
      </c>
    </row>
    <row r="9" spans="1:3" x14ac:dyDescent="0.25">
      <c r="A9" s="15" t="s">
        <v>62</v>
      </c>
      <c r="B9" s="23">
        <v>150</v>
      </c>
      <c r="C9" s="2" t="s">
        <v>63</v>
      </c>
    </row>
    <row r="10" spans="1:3" x14ac:dyDescent="0.25">
      <c r="A10" s="15" t="s">
        <v>64</v>
      </c>
      <c r="B10" s="23">
        <v>460000</v>
      </c>
      <c r="C10" s="2" t="s">
        <v>65</v>
      </c>
    </row>
    <row r="12" spans="1:3" x14ac:dyDescent="0.25">
      <c r="A12" s="13" t="s">
        <v>66</v>
      </c>
      <c r="B12" s="14"/>
      <c r="C12" s="14"/>
    </row>
    <row r="13" spans="1:2" x14ac:dyDescent="0.25">
      <c r="A13" s="15" t="s">
        <v>67</v>
      </c>
      <c r="B13" s="23">
        <v>500000</v>
      </c>
    </row>
    <row r="14" spans="1:3" x14ac:dyDescent="0.25">
      <c r="A14" s="15" t="s">
        <v>68</v>
      </c>
      <c r="B14" s="24">
        <v>0.12</v>
      </c>
      <c r="C14" s="2" t="s">
        <v>69</v>
      </c>
    </row>
    <row r="15" spans="1:3" x14ac:dyDescent="0.25">
      <c r="A15" s="15" t="s">
        <v>70</v>
      </c>
      <c r="B15" s="23">
        <v>36</v>
      </c>
      <c r="C15" s="2" t="s">
        <v>71</v>
      </c>
    </row>
    <row r="16" spans="1:2" x14ac:dyDescent="0.25">
      <c r="A16" s="15" t="s">
        <v>72</v>
      </c>
      <c r="B16" s="22">
        <v>46357</v>
      </c>
    </row>
    <row r="17" spans="1:2" x14ac:dyDescent="0.25">
      <c r="A17" s="15" t="s">
        <v>73</v>
      </c>
      <c r="B17" s="16">
        <f>-PMT(B14/12,B15,B13)</f>
        <v>16607.154906425596</v>
      </c>
    </row>
    <row r="19" spans="1:3" x14ac:dyDescent="0.25">
      <c r="A19" s="13" t="s">
        <v>74</v>
      </c>
      <c r="B19" s="14"/>
      <c r="C19" s="14"/>
    </row>
    <row r="20" spans="1:3" x14ac:dyDescent="0.25">
      <c r="A20" s="25" t="s">
        <v>75</v>
      </c>
      <c r="B20" s="25" t="s">
        <v>76</v>
      </c>
      <c r="C20" s="25" t="s">
        <v>77</v>
      </c>
    </row>
    <row r="21" spans="1:3" x14ac:dyDescent="0.25">
      <c r="A21" s="22">
        <v>46327</v>
      </c>
      <c r="B21" s="23">
        <v>500</v>
      </c>
      <c r="C21" s="23">
        <v>600</v>
      </c>
    </row>
    <row r="22" spans="1:3" x14ac:dyDescent="0.25">
      <c r="A22" s="22"/>
      <c r="B22" s="23"/>
      <c r="C22" s="23"/>
    </row>
    <row r="23" spans="1:3" x14ac:dyDescent="0.25">
      <c r="A23" s="22"/>
      <c r="B23" s="23"/>
      <c r="C23" s="23"/>
    </row>
    <row r="24" spans="1:3" x14ac:dyDescent="0.25">
      <c r="A24" s="22"/>
      <c r="B24" s="23"/>
      <c r="C24" s="23"/>
    </row>
    <row r="25" spans="1:3" x14ac:dyDescent="0.25">
      <c r="A25" s="22"/>
      <c r="B25" s="23"/>
      <c r="C25" s="23"/>
    </row>
    <row r="26" spans="1:1" x14ac:dyDescent="0.25">
      <c r="A26" s="2" t="s">
        <v>78</v>
      </c>
    </row>
    <row r="28" spans="1:3" x14ac:dyDescent="0.25">
      <c r="A28" s="13" t="s">
        <v>79</v>
      </c>
      <c r="B28" s="14"/>
      <c r="C28" s="14"/>
    </row>
    <row r="29" spans="1:3" x14ac:dyDescent="0.25">
      <c r="A29" s="25" t="s">
        <v>80</v>
      </c>
      <c r="B29" s="25" t="s">
        <v>81</v>
      </c>
      <c r="C29" s="25"/>
    </row>
    <row r="30" spans="1:3" x14ac:dyDescent="0.25">
      <c r="A30" s="5" t="s">
        <v>82</v>
      </c>
      <c r="B30" s="24">
        <v>0.1</v>
      </c>
      <c r="C30" s="2" t="s">
        <v>83</v>
      </c>
    </row>
    <row r="31" spans="1:3" x14ac:dyDescent="0.25">
      <c r="A31" s="5" t="s">
        <v>84</v>
      </c>
      <c r="B31" s="24">
        <v>0</v>
      </c>
      <c r="C31" s="2" t="s">
        <v>85</v>
      </c>
    </row>
    <row r="32" spans="1:2" x14ac:dyDescent="0.25">
      <c r="A32" s="5" t="s">
        <v>86</v>
      </c>
      <c r="B32" s="24">
        <v>0</v>
      </c>
    </row>
    <row r="33" spans="1:2" x14ac:dyDescent="0.25">
      <c r="A33" s="5"/>
      <c r="B33" s="24"/>
    </row>
    <row r="34" spans="1:2" x14ac:dyDescent="0.25">
      <c r="A34" s="5"/>
      <c r="B34" s="24"/>
    </row>
    <row r="35" spans="1:2" x14ac:dyDescent="0.25">
      <c r="A35" s="5"/>
      <c r="B35" s="24"/>
    </row>
    <row r="36" spans="1:2" x14ac:dyDescent="0.25">
      <c r="A36" s="5"/>
      <c r="B36" s="24"/>
    </row>
    <row r="38" spans="1:3" x14ac:dyDescent="0.25">
      <c r="A38" s="13" t="s">
        <v>87</v>
      </c>
      <c r="B38" s="14"/>
      <c r="C38" s="14"/>
    </row>
    <row r="39" spans="1:3" x14ac:dyDescent="0.25">
      <c r="A39" s="25" t="s">
        <v>88</v>
      </c>
      <c r="B39" s="25" t="s">
        <v>89</v>
      </c>
      <c r="C39" s="25"/>
    </row>
    <row r="40" spans="1:1" x14ac:dyDescent="0.25">
      <c r="A40" s="2" t="s">
        <v>90</v>
      </c>
    </row>
    <row r="41" spans="1:2" x14ac:dyDescent="0.25">
      <c r="A41" s="5" t="s">
        <v>91</v>
      </c>
      <c r="B41" s="5" t="s">
        <v>92</v>
      </c>
    </row>
    <row r="42" spans="1:2" x14ac:dyDescent="0.25">
      <c r="A42" s="5" t="s">
        <v>93</v>
      </c>
      <c r="B42" s="5" t="s">
        <v>92</v>
      </c>
    </row>
    <row r="43" spans="1:2" x14ac:dyDescent="0.25">
      <c r="A43" s="5" t="s">
        <v>94</v>
      </c>
      <c r="B43" s="5" t="s">
        <v>92</v>
      </c>
    </row>
    <row r="44" spans="1:2" x14ac:dyDescent="0.25">
      <c r="A44" s="5" t="s">
        <v>95</v>
      </c>
      <c r="B44" s="5" t="s">
        <v>92</v>
      </c>
    </row>
    <row r="45" spans="1:2" x14ac:dyDescent="0.25">
      <c r="A45" s="5" t="s">
        <v>96</v>
      </c>
      <c r="B45" s="5" t="s">
        <v>92</v>
      </c>
    </row>
    <row r="46" spans="1:2" x14ac:dyDescent="0.25">
      <c r="A46" s="5" t="s">
        <v>97</v>
      </c>
      <c r="B46" s="5" t="s">
        <v>92</v>
      </c>
    </row>
    <row r="47" spans="1:2" x14ac:dyDescent="0.25">
      <c r="A47" s="5" t="s">
        <v>98</v>
      </c>
      <c r="B47" s="5" t="s">
        <v>92</v>
      </c>
    </row>
    <row r="48" spans="1:2" x14ac:dyDescent="0.25">
      <c r="A48" s="5" t="s">
        <v>99</v>
      </c>
      <c r="B48" s="5" t="s">
        <v>92</v>
      </c>
    </row>
    <row r="49" spans="1:2" x14ac:dyDescent="0.25">
      <c r="A49" s="5" t="s">
        <v>100</v>
      </c>
      <c r="B49" s="5" t="s">
        <v>92</v>
      </c>
    </row>
    <row r="50" spans="1:2" x14ac:dyDescent="0.25">
      <c r="A50" s="5" t="s">
        <v>101</v>
      </c>
      <c r="B50" s="5" t="s">
        <v>102</v>
      </c>
    </row>
    <row r="51" spans="1:2" x14ac:dyDescent="0.25">
      <c r="A51" s="5" t="s">
        <v>103</v>
      </c>
      <c r="B51" s="5" t="s">
        <v>66</v>
      </c>
    </row>
    <row r="52" spans="1:2" x14ac:dyDescent="0.25">
      <c r="A52" s="5" t="s">
        <v>104</v>
      </c>
      <c r="B52" s="5" t="s">
        <v>105</v>
      </c>
    </row>
    <row r="53" spans="1:2" x14ac:dyDescent="0.25">
      <c r="A53" s="5"/>
      <c r="B53" s="5"/>
    </row>
    <row r="54" spans="1:2" x14ac:dyDescent="0.25">
      <c r="A54" s="5"/>
      <c r="B54" s="5"/>
    </row>
    <row r="55" spans="1:2" x14ac:dyDescent="0.25">
      <c r="A55" s="5"/>
      <c r="B55" s="5"/>
    </row>
    <row r="57" spans="1:3" x14ac:dyDescent="0.25">
      <c r="A57" s="13" t="s">
        <v>106</v>
      </c>
      <c r="B57" s="14"/>
      <c r="C57" s="14"/>
    </row>
    <row r="58" spans="1:1" x14ac:dyDescent="0.25">
      <c r="A58" s="5" t="s">
        <v>107</v>
      </c>
    </row>
    <row r="59" spans="1:1" x14ac:dyDescent="0.25">
      <c r="A59" s="5" t="s">
        <v>108</v>
      </c>
    </row>
    <row r="60" spans="1:1" x14ac:dyDescent="0.25">
      <c r="A60" s="5" t="s">
        <v>109</v>
      </c>
    </row>
    <row r="61" spans="1:1" x14ac:dyDescent="0.25">
      <c r="A61" s="5" t="s">
        <v>110</v>
      </c>
    </row>
  </sheetData>
  <dataValidations count="1">
    <dataValidation type="list" allowBlank="1" sqref="B41:B55">
      <formula1>"Operating,Capital,Loan,Owner"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5"/>
  <sheetViews>
    <sheetView workbookViewId="0" zoomScale="100" zoomScaleNormal="100">
      <pane xSplit="2" ySplit="5" topLeftCell="C6" activePane="bottomRight" state="frozen"/>
      <selection pane="bottomRight" activeCell="G10" sqref="G10"/>
    </sheetView>
  </sheetViews>
  <sheetFormatPr defaultRowHeight="15" outlineLevelRow="0" outlineLevelCol="0" x14ac:dyDescent="0.2" defaultColWidth="8.6640625"/>
  <cols>
    <col min="1" max="1" width="13" customWidth="1"/>
    <col min="2" max="2" width="22" customWidth="1"/>
    <col min="3" max="7" width="11" customWidth="1"/>
    <col min="8" max="9" width="13" customWidth="1"/>
    <col min="10" max="10" width="28" customWidth="1"/>
    <col min="11" max="11" width="10" customWidth="1"/>
    <col min="12" max="12" width="13" customWidth="1"/>
    <col min="13" max="13" width="12" customWidth="1"/>
    <col min="14" max="15" width="10" customWidth="1"/>
    <col min="16" max="16" width="11" customWidth="1"/>
    <col min="17" max="17" width="10" customWidth="1"/>
  </cols>
  <sheetData>
    <row r="1" ht="18" customHeight="1" spans="1:1" x14ac:dyDescent="0.25">
      <c r="A1" s="1" t="s">
        <v>111</v>
      </c>
    </row>
    <row r="2" spans="1:1" x14ac:dyDescent="0.25">
      <c r="A2" s="2" t="s">
        <v>112</v>
      </c>
    </row>
    <row r="4" ht="36" customHeight="1" spans="1:17" x14ac:dyDescent="0.25">
      <c r="A4" s="25" t="s">
        <v>113</v>
      </c>
      <c r="B4" s="25" t="s">
        <v>80</v>
      </c>
      <c r="C4" s="25" t="s">
        <v>114</v>
      </c>
      <c r="D4" s="25" t="s">
        <v>115</v>
      </c>
      <c r="E4" s="25" t="s">
        <v>116</v>
      </c>
      <c r="F4" s="25" t="s">
        <v>117</v>
      </c>
      <c r="G4" s="25" t="s">
        <v>118</v>
      </c>
      <c r="H4" s="25" t="s">
        <v>119</v>
      </c>
      <c r="I4" s="25" t="s">
        <v>120</v>
      </c>
      <c r="J4" s="25" t="s">
        <v>121</v>
      </c>
      <c r="K4" s="26" t="s">
        <v>35</v>
      </c>
      <c r="L4" s="26" t="s">
        <v>28</v>
      </c>
      <c r="M4" s="26" t="s">
        <v>29</v>
      </c>
      <c r="N4" s="26" t="s">
        <v>122</v>
      </c>
      <c r="O4" s="26" t="s">
        <v>123</v>
      </c>
      <c r="P4" s="26" t="s">
        <v>124</v>
      </c>
      <c r="Q4" s="26" t="s">
        <v>125</v>
      </c>
    </row>
    <row r="5" spans="1:17" x14ac:dyDescent="0.25">
      <c r="A5" s="27">
        <v>46328</v>
      </c>
      <c r="B5" s="28" t="s">
        <v>82</v>
      </c>
      <c r="C5" s="28">
        <v>12</v>
      </c>
      <c r="D5" s="28">
        <v>8</v>
      </c>
      <c r="E5" s="28">
        <v>2</v>
      </c>
      <c r="F5" s="28">
        <v>40</v>
      </c>
      <c r="G5" s="28">
        <v>18</v>
      </c>
      <c r="H5" s="29">
        <v>6800</v>
      </c>
      <c r="I5" s="29">
        <v>4000</v>
      </c>
      <c r="J5" s="28" t="s">
        <v>126</v>
      </c>
      <c r="K5" s="28">
        <v>20</v>
      </c>
      <c r="L5" s="29">
        <v>10800</v>
      </c>
      <c r="M5" s="29">
        <v>1080</v>
      </c>
      <c r="N5" s="28">
        <v>0</v>
      </c>
      <c r="O5" s="28" t="s">
        <v>127</v>
      </c>
      <c r="P5" s="29">
        <v>0</v>
      </c>
      <c r="Q5" s="28" t="s">
        <v>127</v>
      </c>
    </row>
    <row r="6" spans="1:17" x14ac:dyDescent="0.25">
      <c r="A6" s="22">
        <v>46330</v>
      </c>
      <c r="B6" s="30" t="s">
        <v>82</v>
      </c>
      <c r="C6" s="5">
        <v>33</v>
      </c>
      <c r="D6" s="5">
        <v>24</v>
      </c>
      <c r="E6" s="5">
        <v>1</v>
      </c>
      <c r="F6" s="5">
        <v>60</v>
      </c>
      <c r="G6" s="5">
        <v>2</v>
      </c>
      <c r="H6" s="23">
        <v>30900</v>
      </c>
      <c r="I6" s="23">
        <v>0</v>
      </c>
      <c r="J6" s="5"/>
      <c r="K6" s="31">
        <f t="shared" ref="K6:K69" si="0">IF($A6="","",C6+D6)</f>
        <v>57</v>
      </c>
      <c r="L6" s="32">
        <f>IF($A6="","",C6*SUMIFS(Settings!$B$21:$B$25,Settings!$A$21:$A$25,SUMPRODUCT(MAX((Settings!$A$21:$A$25&lt;=$A6)*Settings!$A$21:$A$25)))+D6*SUMIFS(Settings!$C$21:$C$25,Settings!$A$21:$A$25,SUMPRODUCT(MAX((Settings!$A$21:$A$25&lt;=$A6)*Settings!$A$21:$A$25))))</f>
        <v>30900</v>
      </c>
      <c r="M6" s="32">
        <f>IF($A6="","",L6*IFERROR(INDEX(Settings!$B$30:$B$36,MATCH($B6,Settings!$A$30:$A$36,0)),0))</f>
        <v>3090</v>
      </c>
      <c r="N6" s="32">
        <f t="shared" ref="N6:N69" si="1">IF(OR($A6="",F6="",G6=""),"",(F6-G6)-(K6+E6))</f>
        <v>0</v>
      </c>
      <c r="O6" s="33" t="str">
        <f t="shared" ref="O6:O69" si="2">IF(N6="","",IF(N6=0,"OK","CHECK"))</f>
        <v>OK</v>
      </c>
      <c r="P6" s="32">
        <f t="shared" ref="P6:P69" si="3">IF(OR($A6="",AND(H6="",I6="")),"",H6+I6-L6)</f>
        <v>0</v>
      </c>
      <c r="Q6" s="33" t="str">
        <f t="shared" ref="Q6:Q69" si="4">IF(P6="","",IF(P6=0,"OK","CHECK"))</f>
        <v>OK</v>
      </c>
    </row>
    <row r="7" spans="1:17" x14ac:dyDescent="0.25">
      <c r="A7" s="22">
        <v>46331</v>
      </c>
      <c r="B7" s="30" t="s">
        <v>82</v>
      </c>
      <c r="C7" s="5">
        <v>12</v>
      </c>
      <c r="D7" s="5">
        <v>7</v>
      </c>
      <c r="E7" s="5">
        <v>1</v>
      </c>
      <c r="F7" s="5">
        <v>60</v>
      </c>
      <c r="G7" s="5">
        <v>40</v>
      </c>
      <c r="H7" s="23">
        <f>SUM(C7*500+D7*600)</f>
        <v>10200</v>
      </c>
      <c r="I7" s="23"/>
      <c r="J7" s="5"/>
      <c r="K7" s="31">
        <f t="shared" si="0"/>
        <v>19</v>
      </c>
      <c r="L7" s="32">
        <f>IF($A7="","",C7*SUMIFS(Settings!$B$21:$B$25,Settings!$A$21:$A$25,SUMPRODUCT(MAX((Settings!$A$21:$A$25&lt;=$A7)*Settings!$A$21:$A$25)))+D7*SUMIFS(Settings!$C$21:$C$25,Settings!$A$21:$A$25,SUMPRODUCT(MAX((Settings!$A$21:$A$25&lt;=$A7)*Settings!$A$21:$A$25))))</f>
        <v>10200</v>
      </c>
      <c r="M7" s="32">
        <f>IF($A7="","",L7*IFERROR(INDEX(Settings!$B$30:$B$36,MATCH($B7,Settings!$A$30:$A$36,0)),0))</f>
        <v>1020</v>
      </c>
      <c r="N7" s="32">
        <f t="shared" si="1"/>
        <v>0</v>
      </c>
      <c r="O7" s="33" t="str">
        <f t="shared" si="2"/>
        <v>OK</v>
      </c>
      <c r="P7" s="32">
        <f t="shared" si="3"/>
        <v>0</v>
      </c>
      <c r="Q7" s="33" t="str">
        <f t="shared" si="4"/>
        <v>OK</v>
      </c>
    </row>
    <row r="8" spans="1:17" x14ac:dyDescent="0.25">
      <c r="A8" s="22">
        <v>46332</v>
      </c>
      <c r="B8" s="30" t="s">
        <v>82</v>
      </c>
      <c r="C8" s="5">
        <v>10</v>
      </c>
      <c r="D8" s="5">
        <v>6</v>
      </c>
      <c r="E8" s="5">
        <v>1</v>
      </c>
      <c r="F8" s="5">
        <v>60</v>
      </c>
      <c r="G8" s="5">
        <v>43</v>
      </c>
      <c r="H8" s="23">
        <f>SUM(C8*500+D8*600)</f>
        <v>8600</v>
      </c>
      <c r="I8" s="23"/>
      <c r="J8" s="5"/>
      <c r="K8" s="31">
        <f t="shared" si="0"/>
        <v>16</v>
      </c>
      <c r="L8" s="32">
        <f>IF($A8="","",C8*SUMIFS(Settings!$B$21:$B$25,Settings!$A$21:$A$25,SUMPRODUCT(MAX((Settings!$A$21:$A$25&lt;=$A8)*Settings!$A$21:$A$25)))+D8*SUMIFS(Settings!$C$21:$C$25,Settings!$A$21:$A$25,SUMPRODUCT(MAX((Settings!$A$21:$A$25&lt;=$A8)*Settings!$A$21:$A$25))))</f>
        <v>8600</v>
      </c>
      <c r="M8" s="32">
        <f>IF($A8="","",L8*IFERROR(INDEX(Settings!$B$30:$B$36,MATCH($B8,Settings!$A$30:$A$36,0)),0))</f>
        <v>860</v>
      </c>
      <c r="N8" s="32">
        <f t="shared" si="1"/>
        <v>0</v>
      </c>
      <c r="O8" s="33" t="str">
        <f t="shared" si="2"/>
        <v>OK</v>
      </c>
      <c r="P8" s="32">
        <f t="shared" si="3"/>
        <v>0</v>
      </c>
      <c r="Q8" s="33" t="str">
        <f t="shared" si="4"/>
        <v>OK</v>
      </c>
    </row>
    <row r="9" spans="1:17" x14ac:dyDescent="0.25">
      <c r="A9" s="22">
        <v>46333</v>
      </c>
      <c r="B9" s="30" t="s">
        <v>82</v>
      </c>
      <c r="C9" s="5">
        <v>45</v>
      </c>
      <c r="D9" s="5">
        <v>30</v>
      </c>
      <c r="E9" s="5">
        <v>1</v>
      </c>
      <c r="F9" s="5">
        <v>80</v>
      </c>
      <c r="G9" s="5">
        <v>4</v>
      </c>
      <c r="H9" s="23">
        <f>SUM(C9*500+D9*600)</f>
        <v>40500</v>
      </c>
      <c r="I9" s="23"/>
      <c r="J9" s="5"/>
      <c r="K9" s="31">
        <f t="shared" si="0"/>
        <v>75</v>
      </c>
      <c r="L9" s="32">
        <f>IF($A9="","",C9*SUMIFS(Settings!$B$21:$B$25,Settings!$A$21:$A$25,SUMPRODUCT(MAX((Settings!$A$21:$A$25&lt;=$A9)*Settings!$A$21:$A$25)))+D9*SUMIFS(Settings!$C$21:$C$25,Settings!$A$21:$A$25,SUMPRODUCT(MAX((Settings!$A$21:$A$25&lt;=$A9)*Settings!$A$21:$A$25))))</f>
        <v>40500</v>
      </c>
      <c r="M9" s="32">
        <f>IF($A9="","",L9*IFERROR(INDEX(Settings!$B$30:$B$36,MATCH($B9,Settings!$A$30:$A$36,0)),0))</f>
        <v>4050</v>
      </c>
      <c r="N9" s="32">
        <f t="shared" si="1"/>
        <v>0</v>
      </c>
      <c r="O9" s="33" t="str">
        <f t="shared" si="2"/>
        <v>OK</v>
      </c>
      <c r="P9" s="32">
        <f t="shared" si="3"/>
        <v>0</v>
      </c>
      <c r="Q9" s="33" t="str">
        <f t="shared" si="4"/>
        <v>OK</v>
      </c>
    </row>
    <row r="10" spans="1:17" x14ac:dyDescent="0.25">
      <c r="A10" s="22">
        <v>46304</v>
      </c>
      <c r="B10" s="5" t="s">
        <v>82</v>
      </c>
      <c r="C10" s="5">
        <v>12</v>
      </c>
      <c r="D10" s="5">
        <v>8</v>
      </c>
      <c r="E10" s="5">
        <v>0</v>
      </c>
      <c r="F10" s="5">
        <v>0</v>
      </c>
      <c r="G10" s="5">
        <v>0</v>
      </c>
      <c r="H10" s="23">
        <v>6000</v>
      </c>
      <c r="I10" s="23">
        <v>4000</v>
      </c>
      <c r="J10" s="5" t="s">
        <v>128</v>
      </c>
      <c r="K10" s="31">
        <f t="shared" si="0"/>
      </c>
      <c r="L10" s="32">
        <f>IF($A10="","",C10*SUMIFS(Settings!$B$21:$B$25,Settings!$A$21:$A$25,SUMPRODUCT(MAX((Settings!$A$21:$A$25&lt;=$A10)*Settings!$A$21:$A$25)))+D10*SUMIFS(Settings!$C$21:$C$25,Settings!$A$21:$A$25,SUMPRODUCT(MAX((Settings!$A$21:$A$25&lt;=$A10)*Settings!$A$21:$A$25))))</f>
      </c>
      <c r="M10" s="32">
        <f>IF($A10="","",L10*IFERROR(INDEX(Settings!$B$30:$B$36,MATCH($B10,Settings!$A$30:$A$36,0)),0))</f>
      </c>
      <c r="N10" s="32">
        <f t="shared" si="1"/>
      </c>
      <c r="O10" s="33">
        <f t="shared" si="2"/>
      </c>
      <c r="P10" s="32">
        <f t="shared" si="3"/>
      </c>
      <c r="Q10" s="33">
        <f t="shared" si="4"/>
      </c>
    </row>
    <row r="11" spans="1:17" x14ac:dyDescent="0.25">
      <c r="A11" s="22"/>
      <c r="B11" s="5"/>
      <c r="C11" s="5"/>
      <c r="D11" s="5"/>
      <c r="E11" s="5"/>
      <c r="F11" s="5"/>
      <c r="G11" s="5"/>
      <c r="H11" s="23"/>
      <c r="I11" s="23"/>
      <c r="J11" s="5"/>
      <c r="K11" s="31">
        <f t="shared" si="0"/>
      </c>
      <c r="L11" s="32">
        <f>IF($A11="","",C11*SUMIFS(Settings!$B$21:$B$25,Settings!$A$21:$A$25,SUMPRODUCT(MAX((Settings!$A$21:$A$25&lt;=$A11)*Settings!$A$21:$A$25)))+D11*SUMIFS(Settings!$C$21:$C$25,Settings!$A$21:$A$25,SUMPRODUCT(MAX((Settings!$A$21:$A$25&lt;=$A11)*Settings!$A$21:$A$25))))</f>
      </c>
      <c r="M11" s="32">
        <f>IF($A11="","",L11*IFERROR(INDEX(Settings!$B$30:$B$36,MATCH($B11,Settings!$A$30:$A$36,0)),0))</f>
      </c>
      <c r="N11" s="32">
        <f t="shared" si="1"/>
      </c>
      <c r="O11" s="33">
        <f t="shared" si="2"/>
      </c>
      <c r="P11" s="32">
        <f t="shared" si="3"/>
      </c>
      <c r="Q11" s="33">
        <f t="shared" si="4"/>
      </c>
    </row>
    <row r="12" spans="1:17" x14ac:dyDescent="0.25">
      <c r="A12" s="22"/>
      <c r="B12" s="5"/>
      <c r="C12" s="5"/>
      <c r="D12" s="5"/>
      <c r="E12" s="5"/>
      <c r="F12" s="5"/>
      <c r="G12" s="5"/>
      <c r="H12" s="23"/>
      <c r="I12" s="23"/>
      <c r="J12" s="5"/>
      <c r="K12" s="31">
        <f t="shared" si="0"/>
      </c>
      <c r="L12" s="32">
        <f>IF($A12="","",C12*SUMIFS(Settings!$B$21:$B$25,Settings!$A$21:$A$25,SUMPRODUCT(MAX((Settings!$A$21:$A$25&lt;=$A12)*Settings!$A$21:$A$25)))+D12*SUMIFS(Settings!$C$21:$C$25,Settings!$A$21:$A$25,SUMPRODUCT(MAX((Settings!$A$21:$A$25&lt;=$A12)*Settings!$A$21:$A$25))))</f>
      </c>
      <c r="M12" s="32">
        <f>IF($A12="","",L12*IFERROR(INDEX(Settings!$B$30:$B$36,MATCH($B12,Settings!$A$30:$A$36,0)),0))</f>
      </c>
      <c r="N12" s="32">
        <f t="shared" si="1"/>
      </c>
      <c r="O12" s="33">
        <f t="shared" si="2"/>
      </c>
      <c r="P12" s="32">
        <f t="shared" si="3"/>
      </c>
      <c r="Q12" s="33">
        <f t="shared" si="4"/>
      </c>
    </row>
    <row r="13" spans="1:17" x14ac:dyDescent="0.25">
      <c r="A13" s="22"/>
      <c r="B13" s="5"/>
      <c r="C13" s="5"/>
      <c r="D13" s="5"/>
      <c r="E13" s="5"/>
      <c r="F13" s="5"/>
      <c r="G13" s="5"/>
      <c r="H13" s="23"/>
      <c r="I13" s="23"/>
      <c r="J13" s="5"/>
      <c r="K13" s="31">
        <f t="shared" si="0"/>
      </c>
      <c r="L13" s="32">
        <f>IF($A13="","",C13*SUMIFS(Settings!$B$21:$B$25,Settings!$A$21:$A$25,SUMPRODUCT(MAX((Settings!$A$21:$A$25&lt;=$A13)*Settings!$A$21:$A$25)))+D13*SUMIFS(Settings!$C$21:$C$25,Settings!$A$21:$A$25,SUMPRODUCT(MAX((Settings!$A$21:$A$25&lt;=$A13)*Settings!$A$21:$A$25))))</f>
      </c>
      <c r="M13" s="32">
        <f>IF($A13="","",L13*IFERROR(INDEX(Settings!$B$30:$B$36,MATCH($B13,Settings!$A$30:$A$36,0)),0))</f>
      </c>
      <c r="N13" s="32">
        <f t="shared" si="1"/>
      </c>
      <c r="O13" s="33">
        <f t="shared" si="2"/>
      </c>
      <c r="P13" s="32">
        <f t="shared" si="3"/>
      </c>
      <c r="Q13" s="33">
        <f t="shared" si="4"/>
      </c>
    </row>
    <row r="14" spans="1:17" x14ac:dyDescent="0.25">
      <c r="A14" s="22"/>
      <c r="B14" s="5"/>
      <c r="C14" s="5"/>
      <c r="D14" s="5"/>
      <c r="E14" s="5"/>
      <c r="F14" s="5"/>
      <c r="G14" s="5"/>
      <c r="H14" s="23"/>
      <c r="I14" s="23"/>
      <c r="J14" s="5"/>
      <c r="K14" s="31">
        <f t="shared" si="0"/>
      </c>
      <c r="L14" s="32">
        <f>IF($A14="","",C14*SUMIFS(Settings!$B$21:$B$25,Settings!$A$21:$A$25,SUMPRODUCT(MAX((Settings!$A$21:$A$25&lt;=$A14)*Settings!$A$21:$A$25)))+D14*SUMIFS(Settings!$C$21:$C$25,Settings!$A$21:$A$25,SUMPRODUCT(MAX((Settings!$A$21:$A$25&lt;=$A14)*Settings!$A$21:$A$25))))</f>
      </c>
      <c r="M14" s="32">
        <f>IF($A14="","",L14*IFERROR(INDEX(Settings!$B$30:$B$36,MATCH($B14,Settings!$A$30:$A$36,0)),0))</f>
      </c>
      <c r="N14" s="32">
        <f t="shared" si="1"/>
      </c>
      <c r="O14" s="33">
        <f t="shared" si="2"/>
      </c>
      <c r="P14" s="32">
        <f t="shared" si="3"/>
      </c>
      <c r="Q14" s="33">
        <f t="shared" si="4"/>
      </c>
    </row>
    <row r="15" spans="1:17" x14ac:dyDescent="0.25">
      <c r="A15" s="22"/>
      <c r="B15" s="5"/>
      <c r="C15" s="5"/>
      <c r="D15" s="5"/>
      <c r="E15" s="5"/>
      <c r="F15" s="5"/>
      <c r="G15" s="5"/>
      <c r="H15" s="23"/>
      <c r="I15" s="23"/>
      <c r="J15" s="5"/>
      <c r="K15" s="31">
        <f t="shared" si="0"/>
      </c>
      <c r="L15" s="32">
        <f>IF($A15="","",C15*SUMIFS(Settings!$B$21:$B$25,Settings!$A$21:$A$25,SUMPRODUCT(MAX((Settings!$A$21:$A$25&lt;=$A15)*Settings!$A$21:$A$25)))+D15*SUMIFS(Settings!$C$21:$C$25,Settings!$A$21:$A$25,SUMPRODUCT(MAX((Settings!$A$21:$A$25&lt;=$A15)*Settings!$A$21:$A$25))))</f>
      </c>
      <c r="M15" s="32">
        <f>IF($A15="","",L15*IFERROR(INDEX(Settings!$B$30:$B$36,MATCH($B15,Settings!$A$30:$A$36,0)),0))</f>
      </c>
      <c r="N15" s="32">
        <f t="shared" si="1"/>
      </c>
      <c r="O15" s="33">
        <f t="shared" si="2"/>
      </c>
      <c r="P15" s="32">
        <f t="shared" si="3"/>
      </c>
      <c r="Q15" s="33">
        <f t="shared" si="4"/>
      </c>
    </row>
    <row r="16" spans="1:17" x14ac:dyDescent="0.25">
      <c r="A16" s="22"/>
      <c r="B16" s="5"/>
      <c r="C16" s="5"/>
      <c r="D16" s="5"/>
      <c r="E16" s="5"/>
      <c r="F16" s="5"/>
      <c r="G16" s="5"/>
      <c r="H16" s="23"/>
      <c r="I16" s="23"/>
      <c r="J16" s="5"/>
      <c r="K16" s="31">
        <f t="shared" si="0"/>
      </c>
      <c r="L16" s="32">
        <f>IF($A16="","",C16*SUMIFS(Settings!$B$21:$B$25,Settings!$A$21:$A$25,SUMPRODUCT(MAX((Settings!$A$21:$A$25&lt;=$A16)*Settings!$A$21:$A$25)))+D16*SUMIFS(Settings!$C$21:$C$25,Settings!$A$21:$A$25,SUMPRODUCT(MAX((Settings!$A$21:$A$25&lt;=$A16)*Settings!$A$21:$A$25))))</f>
      </c>
      <c r="M16" s="32">
        <f>IF($A16="","",L16*IFERROR(INDEX(Settings!$B$30:$B$36,MATCH($B16,Settings!$A$30:$A$36,0)),0))</f>
      </c>
      <c r="N16" s="32">
        <f t="shared" si="1"/>
      </c>
      <c r="O16" s="33">
        <f t="shared" si="2"/>
      </c>
      <c r="P16" s="32">
        <f t="shared" si="3"/>
      </c>
      <c r="Q16" s="33">
        <f t="shared" si="4"/>
      </c>
    </row>
    <row r="17" spans="1:17" x14ac:dyDescent="0.25">
      <c r="A17" s="22"/>
      <c r="B17" s="5"/>
      <c r="C17" s="5"/>
      <c r="D17" s="5"/>
      <c r="E17" s="5"/>
      <c r="F17" s="5"/>
      <c r="G17" s="5"/>
      <c r="H17" s="23"/>
      <c r="I17" s="23"/>
      <c r="J17" s="5"/>
      <c r="K17" s="31">
        <f t="shared" si="0"/>
      </c>
      <c r="L17" s="32">
        <f>IF($A17="","",C17*SUMIFS(Settings!$B$21:$B$25,Settings!$A$21:$A$25,SUMPRODUCT(MAX((Settings!$A$21:$A$25&lt;=$A17)*Settings!$A$21:$A$25)))+D17*SUMIFS(Settings!$C$21:$C$25,Settings!$A$21:$A$25,SUMPRODUCT(MAX((Settings!$A$21:$A$25&lt;=$A17)*Settings!$A$21:$A$25))))</f>
      </c>
      <c r="M17" s="32">
        <f>IF($A17="","",L17*IFERROR(INDEX(Settings!$B$30:$B$36,MATCH($B17,Settings!$A$30:$A$36,0)),0))</f>
      </c>
      <c r="N17" s="32">
        <f t="shared" si="1"/>
      </c>
      <c r="O17" s="33">
        <f t="shared" si="2"/>
      </c>
      <c r="P17" s="32">
        <f t="shared" si="3"/>
      </c>
      <c r="Q17" s="33">
        <f t="shared" si="4"/>
      </c>
    </row>
    <row r="18" spans="1:17" x14ac:dyDescent="0.25">
      <c r="A18" s="22"/>
      <c r="B18" s="5"/>
      <c r="C18" s="5"/>
      <c r="D18" s="5"/>
      <c r="E18" s="5"/>
      <c r="F18" s="5"/>
      <c r="G18" s="5"/>
      <c r="H18" s="23"/>
      <c r="I18" s="23"/>
      <c r="J18" s="5"/>
      <c r="K18" s="31">
        <f t="shared" si="0"/>
      </c>
      <c r="L18" s="32">
        <f>IF($A18="","",C18*SUMIFS(Settings!$B$21:$B$25,Settings!$A$21:$A$25,SUMPRODUCT(MAX((Settings!$A$21:$A$25&lt;=$A18)*Settings!$A$21:$A$25)))+D18*SUMIFS(Settings!$C$21:$C$25,Settings!$A$21:$A$25,SUMPRODUCT(MAX((Settings!$A$21:$A$25&lt;=$A18)*Settings!$A$21:$A$25))))</f>
      </c>
      <c r="M18" s="32">
        <f>IF($A18="","",L18*IFERROR(INDEX(Settings!$B$30:$B$36,MATCH($B18,Settings!$A$30:$A$36,0)),0))</f>
      </c>
      <c r="N18" s="32">
        <f t="shared" si="1"/>
      </c>
      <c r="O18" s="33">
        <f t="shared" si="2"/>
      </c>
      <c r="P18" s="32">
        <f t="shared" si="3"/>
      </c>
      <c r="Q18" s="33">
        <f t="shared" si="4"/>
      </c>
    </row>
    <row r="19" spans="1:17" x14ac:dyDescent="0.25">
      <c r="A19" s="22"/>
      <c r="B19" s="5"/>
      <c r="C19" s="5"/>
      <c r="D19" s="5"/>
      <c r="E19" s="5"/>
      <c r="F19" s="5"/>
      <c r="G19" s="5"/>
      <c r="H19" s="23"/>
      <c r="I19" s="23"/>
      <c r="J19" s="5"/>
      <c r="K19" s="31">
        <f t="shared" si="0"/>
      </c>
      <c r="L19" s="32">
        <f>IF($A19="","",C19*SUMIFS(Settings!$B$21:$B$25,Settings!$A$21:$A$25,SUMPRODUCT(MAX((Settings!$A$21:$A$25&lt;=$A19)*Settings!$A$21:$A$25)))+D19*SUMIFS(Settings!$C$21:$C$25,Settings!$A$21:$A$25,SUMPRODUCT(MAX((Settings!$A$21:$A$25&lt;=$A19)*Settings!$A$21:$A$25))))</f>
      </c>
      <c r="M19" s="32">
        <f>IF($A19="","",L19*IFERROR(INDEX(Settings!$B$30:$B$36,MATCH($B19,Settings!$A$30:$A$36,0)),0))</f>
      </c>
      <c r="N19" s="32">
        <f t="shared" si="1"/>
      </c>
      <c r="O19" s="33">
        <f t="shared" si="2"/>
      </c>
      <c r="P19" s="32">
        <f t="shared" si="3"/>
      </c>
      <c r="Q19" s="33">
        <f t="shared" si="4"/>
      </c>
    </row>
    <row r="20" spans="1:17" x14ac:dyDescent="0.25">
      <c r="A20" s="22"/>
      <c r="B20" s="5"/>
      <c r="C20" s="5"/>
      <c r="D20" s="5"/>
      <c r="E20" s="5"/>
      <c r="F20" s="5"/>
      <c r="G20" s="5"/>
      <c r="H20" s="23"/>
      <c r="I20" s="23"/>
      <c r="J20" s="5"/>
      <c r="K20" s="31">
        <f t="shared" si="0"/>
      </c>
      <c r="L20" s="32">
        <f>IF($A20="","",C20*SUMIFS(Settings!$B$21:$B$25,Settings!$A$21:$A$25,SUMPRODUCT(MAX((Settings!$A$21:$A$25&lt;=$A20)*Settings!$A$21:$A$25)))+D20*SUMIFS(Settings!$C$21:$C$25,Settings!$A$21:$A$25,SUMPRODUCT(MAX((Settings!$A$21:$A$25&lt;=$A20)*Settings!$A$21:$A$25))))</f>
      </c>
      <c r="M20" s="32">
        <f>IF($A20="","",L20*IFERROR(INDEX(Settings!$B$30:$B$36,MATCH($B20,Settings!$A$30:$A$36,0)),0))</f>
      </c>
      <c r="N20" s="32">
        <f t="shared" si="1"/>
      </c>
      <c r="O20" s="33">
        <f t="shared" si="2"/>
      </c>
      <c r="P20" s="32">
        <f t="shared" si="3"/>
      </c>
      <c r="Q20" s="33">
        <f t="shared" si="4"/>
      </c>
    </row>
    <row r="21" spans="1:17" x14ac:dyDescent="0.25">
      <c r="A21" s="22"/>
      <c r="B21" s="5"/>
      <c r="C21" s="5"/>
      <c r="D21" s="5"/>
      <c r="E21" s="5"/>
      <c r="F21" s="5"/>
      <c r="G21" s="5"/>
      <c r="H21" s="23"/>
      <c r="I21" s="23"/>
      <c r="J21" s="5"/>
      <c r="K21" s="31">
        <f t="shared" si="0"/>
      </c>
      <c r="L21" s="32">
        <f>IF($A21="","",C21*SUMIFS(Settings!$B$21:$B$25,Settings!$A$21:$A$25,SUMPRODUCT(MAX((Settings!$A$21:$A$25&lt;=$A21)*Settings!$A$21:$A$25)))+D21*SUMIFS(Settings!$C$21:$C$25,Settings!$A$21:$A$25,SUMPRODUCT(MAX((Settings!$A$21:$A$25&lt;=$A21)*Settings!$A$21:$A$25))))</f>
      </c>
      <c r="M21" s="32">
        <f>IF($A21="","",L21*IFERROR(INDEX(Settings!$B$30:$B$36,MATCH($B21,Settings!$A$30:$A$36,0)),0))</f>
      </c>
      <c r="N21" s="32">
        <f t="shared" si="1"/>
      </c>
      <c r="O21" s="33">
        <f t="shared" si="2"/>
      </c>
      <c r="P21" s="32">
        <f t="shared" si="3"/>
      </c>
      <c r="Q21" s="33">
        <f t="shared" si="4"/>
      </c>
    </row>
    <row r="22" spans="1:17" x14ac:dyDescent="0.25">
      <c r="A22" s="22"/>
      <c r="B22" s="5"/>
      <c r="C22" s="5"/>
      <c r="D22" s="5"/>
      <c r="E22" s="5"/>
      <c r="F22" s="5"/>
      <c r="G22" s="5"/>
      <c r="H22" s="23"/>
      <c r="I22" s="23"/>
      <c r="J22" s="5"/>
      <c r="K22" s="31">
        <f t="shared" si="0"/>
      </c>
      <c r="L22" s="32">
        <f>IF($A22="","",C22*SUMIFS(Settings!$B$21:$B$25,Settings!$A$21:$A$25,SUMPRODUCT(MAX((Settings!$A$21:$A$25&lt;=$A22)*Settings!$A$21:$A$25)))+D22*SUMIFS(Settings!$C$21:$C$25,Settings!$A$21:$A$25,SUMPRODUCT(MAX((Settings!$A$21:$A$25&lt;=$A22)*Settings!$A$21:$A$25))))</f>
      </c>
      <c r="M22" s="32">
        <f>IF($A22="","",L22*IFERROR(INDEX(Settings!$B$30:$B$36,MATCH($B22,Settings!$A$30:$A$36,0)),0))</f>
      </c>
      <c r="N22" s="32">
        <f t="shared" si="1"/>
      </c>
      <c r="O22" s="33">
        <f t="shared" si="2"/>
      </c>
      <c r="P22" s="32">
        <f t="shared" si="3"/>
      </c>
      <c r="Q22" s="33">
        <f t="shared" si="4"/>
      </c>
    </row>
    <row r="23" spans="1:17" x14ac:dyDescent="0.25">
      <c r="A23" s="22"/>
      <c r="B23" s="5"/>
      <c r="C23" s="5"/>
      <c r="D23" s="5"/>
      <c r="E23" s="5"/>
      <c r="F23" s="5"/>
      <c r="G23" s="5"/>
      <c r="H23" s="23"/>
      <c r="I23" s="23"/>
      <c r="J23" s="5"/>
      <c r="K23" s="31">
        <f t="shared" si="0"/>
      </c>
      <c r="L23" s="32">
        <f>IF($A23="","",C23*SUMIFS(Settings!$B$21:$B$25,Settings!$A$21:$A$25,SUMPRODUCT(MAX((Settings!$A$21:$A$25&lt;=$A23)*Settings!$A$21:$A$25)))+D23*SUMIFS(Settings!$C$21:$C$25,Settings!$A$21:$A$25,SUMPRODUCT(MAX((Settings!$A$21:$A$25&lt;=$A23)*Settings!$A$21:$A$25))))</f>
      </c>
      <c r="M23" s="32">
        <f>IF($A23="","",L23*IFERROR(INDEX(Settings!$B$30:$B$36,MATCH($B23,Settings!$A$30:$A$36,0)),0))</f>
      </c>
      <c r="N23" s="32">
        <f t="shared" si="1"/>
      </c>
      <c r="O23" s="33">
        <f t="shared" si="2"/>
      </c>
      <c r="P23" s="32">
        <f t="shared" si="3"/>
      </c>
      <c r="Q23" s="33">
        <f t="shared" si="4"/>
      </c>
    </row>
    <row r="24" spans="1:17" x14ac:dyDescent="0.25">
      <c r="A24" s="22"/>
      <c r="B24" s="5"/>
      <c r="C24" s="5"/>
      <c r="D24" s="5"/>
      <c r="E24" s="5"/>
      <c r="F24" s="5"/>
      <c r="G24" s="5"/>
      <c r="H24" s="23"/>
      <c r="I24" s="23"/>
      <c r="J24" s="5"/>
      <c r="K24" s="31">
        <f t="shared" si="0"/>
      </c>
      <c r="L24" s="32">
        <f>IF($A24="","",C24*SUMIFS(Settings!$B$21:$B$25,Settings!$A$21:$A$25,SUMPRODUCT(MAX((Settings!$A$21:$A$25&lt;=$A24)*Settings!$A$21:$A$25)))+D24*SUMIFS(Settings!$C$21:$C$25,Settings!$A$21:$A$25,SUMPRODUCT(MAX((Settings!$A$21:$A$25&lt;=$A24)*Settings!$A$21:$A$25))))</f>
      </c>
      <c r="M24" s="32">
        <f>IF($A24="","",L24*IFERROR(INDEX(Settings!$B$30:$B$36,MATCH($B24,Settings!$A$30:$A$36,0)),0))</f>
      </c>
      <c r="N24" s="32">
        <f t="shared" si="1"/>
      </c>
      <c r="O24" s="33">
        <f t="shared" si="2"/>
      </c>
      <c r="P24" s="32">
        <f t="shared" si="3"/>
      </c>
      <c r="Q24" s="33">
        <f t="shared" si="4"/>
      </c>
    </row>
    <row r="25" spans="1:17" x14ac:dyDescent="0.25">
      <c r="A25" s="22"/>
      <c r="B25" s="5"/>
      <c r="C25" s="5"/>
      <c r="D25" s="5"/>
      <c r="E25" s="5"/>
      <c r="F25" s="5"/>
      <c r="G25" s="5"/>
      <c r="H25" s="23"/>
      <c r="I25" s="23"/>
      <c r="J25" s="5"/>
      <c r="K25" s="31">
        <f t="shared" si="0"/>
      </c>
      <c r="L25" s="32">
        <f>IF($A25="","",C25*SUMIFS(Settings!$B$21:$B$25,Settings!$A$21:$A$25,SUMPRODUCT(MAX((Settings!$A$21:$A$25&lt;=$A25)*Settings!$A$21:$A$25)))+D25*SUMIFS(Settings!$C$21:$C$25,Settings!$A$21:$A$25,SUMPRODUCT(MAX((Settings!$A$21:$A$25&lt;=$A25)*Settings!$A$21:$A$25))))</f>
      </c>
      <c r="M25" s="32">
        <f>IF($A25="","",L25*IFERROR(INDEX(Settings!$B$30:$B$36,MATCH($B25,Settings!$A$30:$A$36,0)),0))</f>
      </c>
      <c r="N25" s="32">
        <f t="shared" si="1"/>
      </c>
      <c r="O25" s="33">
        <f t="shared" si="2"/>
      </c>
      <c r="P25" s="32">
        <f t="shared" si="3"/>
      </c>
      <c r="Q25" s="33">
        <f t="shared" si="4"/>
      </c>
    </row>
    <row r="26" spans="1:17" x14ac:dyDescent="0.25">
      <c r="A26" s="22"/>
      <c r="B26" s="5"/>
      <c r="C26" s="5"/>
      <c r="D26" s="5"/>
      <c r="E26" s="5"/>
      <c r="F26" s="5"/>
      <c r="G26" s="5"/>
      <c r="H26" s="23"/>
      <c r="I26" s="23"/>
      <c r="J26" s="5"/>
      <c r="K26" s="31">
        <f t="shared" si="0"/>
      </c>
      <c r="L26" s="32">
        <f>IF($A26="","",C26*SUMIFS(Settings!$B$21:$B$25,Settings!$A$21:$A$25,SUMPRODUCT(MAX((Settings!$A$21:$A$25&lt;=$A26)*Settings!$A$21:$A$25)))+D26*SUMIFS(Settings!$C$21:$C$25,Settings!$A$21:$A$25,SUMPRODUCT(MAX((Settings!$A$21:$A$25&lt;=$A26)*Settings!$A$21:$A$25))))</f>
      </c>
      <c r="M26" s="32">
        <f>IF($A26="","",L26*IFERROR(INDEX(Settings!$B$30:$B$36,MATCH($B26,Settings!$A$30:$A$36,0)),0))</f>
      </c>
      <c r="N26" s="32">
        <f t="shared" si="1"/>
      </c>
      <c r="O26" s="33">
        <f t="shared" si="2"/>
      </c>
      <c r="P26" s="32">
        <f t="shared" si="3"/>
      </c>
      <c r="Q26" s="33">
        <f t="shared" si="4"/>
      </c>
    </row>
    <row r="27" spans="1:17" x14ac:dyDescent="0.25">
      <c r="A27" s="22"/>
      <c r="B27" s="5"/>
      <c r="C27" s="5"/>
      <c r="D27" s="5"/>
      <c r="E27" s="5"/>
      <c r="F27" s="5"/>
      <c r="G27" s="5"/>
      <c r="H27" s="23"/>
      <c r="I27" s="23"/>
      <c r="J27" s="5"/>
      <c r="K27" s="31">
        <f t="shared" si="0"/>
      </c>
      <c r="L27" s="32">
        <f>IF($A27="","",C27*SUMIFS(Settings!$B$21:$B$25,Settings!$A$21:$A$25,SUMPRODUCT(MAX((Settings!$A$21:$A$25&lt;=$A27)*Settings!$A$21:$A$25)))+D27*SUMIFS(Settings!$C$21:$C$25,Settings!$A$21:$A$25,SUMPRODUCT(MAX((Settings!$A$21:$A$25&lt;=$A27)*Settings!$A$21:$A$25))))</f>
      </c>
      <c r="M27" s="32">
        <f>IF($A27="","",L27*IFERROR(INDEX(Settings!$B$30:$B$36,MATCH($B27,Settings!$A$30:$A$36,0)),0))</f>
      </c>
      <c r="N27" s="32">
        <f t="shared" si="1"/>
      </c>
      <c r="O27" s="33">
        <f t="shared" si="2"/>
      </c>
      <c r="P27" s="32">
        <f t="shared" si="3"/>
      </c>
      <c r="Q27" s="33">
        <f t="shared" si="4"/>
      </c>
    </row>
    <row r="28" spans="1:17" x14ac:dyDescent="0.25">
      <c r="A28" s="22"/>
      <c r="B28" s="5"/>
      <c r="C28" s="5"/>
      <c r="D28" s="5"/>
      <c r="E28" s="5"/>
      <c r="F28" s="5"/>
      <c r="G28" s="5"/>
      <c r="H28" s="23"/>
      <c r="I28" s="23"/>
      <c r="J28" s="5"/>
      <c r="K28" s="31">
        <f t="shared" si="0"/>
      </c>
      <c r="L28" s="32">
        <f>IF($A28="","",C28*SUMIFS(Settings!$B$21:$B$25,Settings!$A$21:$A$25,SUMPRODUCT(MAX((Settings!$A$21:$A$25&lt;=$A28)*Settings!$A$21:$A$25)))+D28*SUMIFS(Settings!$C$21:$C$25,Settings!$A$21:$A$25,SUMPRODUCT(MAX((Settings!$A$21:$A$25&lt;=$A28)*Settings!$A$21:$A$25))))</f>
      </c>
      <c r="M28" s="32">
        <f>IF($A28="","",L28*IFERROR(INDEX(Settings!$B$30:$B$36,MATCH($B28,Settings!$A$30:$A$36,0)),0))</f>
      </c>
      <c r="N28" s="32">
        <f t="shared" si="1"/>
      </c>
      <c r="O28" s="33">
        <f t="shared" si="2"/>
      </c>
      <c r="P28" s="32">
        <f t="shared" si="3"/>
      </c>
      <c r="Q28" s="33">
        <f t="shared" si="4"/>
      </c>
    </row>
    <row r="29" spans="1:17" x14ac:dyDescent="0.25">
      <c r="A29" s="22"/>
      <c r="B29" s="5"/>
      <c r="C29" s="5"/>
      <c r="D29" s="5"/>
      <c r="E29" s="5"/>
      <c r="F29" s="5"/>
      <c r="G29" s="5"/>
      <c r="H29" s="23"/>
      <c r="I29" s="23"/>
      <c r="J29" s="5"/>
      <c r="K29" s="31">
        <f t="shared" si="0"/>
      </c>
      <c r="L29" s="32">
        <f>IF($A29="","",C29*SUMIFS(Settings!$B$21:$B$25,Settings!$A$21:$A$25,SUMPRODUCT(MAX((Settings!$A$21:$A$25&lt;=$A29)*Settings!$A$21:$A$25)))+D29*SUMIFS(Settings!$C$21:$C$25,Settings!$A$21:$A$25,SUMPRODUCT(MAX((Settings!$A$21:$A$25&lt;=$A29)*Settings!$A$21:$A$25))))</f>
      </c>
      <c r="M29" s="32">
        <f>IF($A29="","",L29*IFERROR(INDEX(Settings!$B$30:$B$36,MATCH($B29,Settings!$A$30:$A$36,0)),0))</f>
      </c>
      <c r="N29" s="32">
        <f t="shared" si="1"/>
      </c>
      <c r="O29" s="33">
        <f t="shared" si="2"/>
      </c>
      <c r="P29" s="32">
        <f t="shared" si="3"/>
      </c>
      <c r="Q29" s="33">
        <f t="shared" si="4"/>
      </c>
    </row>
    <row r="30" spans="1:17" x14ac:dyDescent="0.25">
      <c r="A30" s="22"/>
      <c r="B30" s="5"/>
      <c r="C30" s="5"/>
      <c r="D30" s="5"/>
      <c r="E30" s="5"/>
      <c r="F30" s="5"/>
      <c r="G30" s="5"/>
      <c r="H30" s="23"/>
      <c r="I30" s="23"/>
      <c r="J30" s="5"/>
      <c r="K30" s="31">
        <f t="shared" si="0"/>
      </c>
      <c r="L30" s="32">
        <f>IF($A30="","",C30*SUMIFS(Settings!$B$21:$B$25,Settings!$A$21:$A$25,SUMPRODUCT(MAX((Settings!$A$21:$A$25&lt;=$A30)*Settings!$A$21:$A$25)))+D30*SUMIFS(Settings!$C$21:$C$25,Settings!$A$21:$A$25,SUMPRODUCT(MAX((Settings!$A$21:$A$25&lt;=$A30)*Settings!$A$21:$A$25))))</f>
      </c>
      <c r="M30" s="32">
        <f>IF($A30="","",L30*IFERROR(INDEX(Settings!$B$30:$B$36,MATCH($B30,Settings!$A$30:$A$36,0)),0))</f>
      </c>
      <c r="N30" s="32">
        <f t="shared" si="1"/>
      </c>
      <c r="O30" s="33">
        <f t="shared" si="2"/>
      </c>
      <c r="P30" s="32">
        <f t="shared" si="3"/>
      </c>
      <c r="Q30" s="33">
        <f t="shared" si="4"/>
      </c>
    </row>
    <row r="31" spans="1:17" x14ac:dyDescent="0.25">
      <c r="A31" s="22"/>
      <c r="B31" s="5"/>
      <c r="C31" s="5"/>
      <c r="D31" s="5"/>
      <c r="E31" s="5"/>
      <c r="F31" s="5"/>
      <c r="G31" s="5"/>
      <c r="H31" s="23"/>
      <c r="I31" s="23"/>
      <c r="J31" s="5"/>
      <c r="K31" s="31">
        <f t="shared" si="0"/>
      </c>
      <c r="L31" s="32">
        <f>IF($A31="","",C31*SUMIFS(Settings!$B$21:$B$25,Settings!$A$21:$A$25,SUMPRODUCT(MAX((Settings!$A$21:$A$25&lt;=$A31)*Settings!$A$21:$A$25)))+D31*SUMIFS(Settings!$C$21:$C$25,Settings!$A$21:$A$25,SUMPRODUCT(MAX((Settings!$A$21:$A$25&lt;=$A31)*Settings!$A$21:$A$25))))</f>
      </c>
      <c r="M31" s="32">
        <f>IF($A31="","",L31*IFERROR(INDEX(Settings!$B$30:$B$36,MATCH($B31,Settings!$A$30:$A$36,0)),0))</f>
      </c>
      <c r="N31" s="32">
        <f t="shared" si="1"/>
      </c>
      <c r="O31" s="33">
        <f t="shared" si="2"/>
      </c>
      <c r="P31" s="32">
        <f t="shared" si="3"/>
      </c>
      <c r="Q31" s="33">
        <f t="shared" si="4"/>
      </c>
    </row>
    <row r="32" spans="1:17" x14ac:dyDescent="0.25">
      <c r="A32" s="22"/>
      <c r="B32" s="5"/>
      <c r="C32" s="5"/>
      <c r="D32" s="5"/>
      <c r="E32" s="5"/>
      <c r="F32" s="5"/>
      <c r="G32" s="5"/>
      <c r="H32" s="23"/>
      <c r="I32" s="23"/>
      <c r="J32" s="5"/>
      <c r="K32" s="31">
        <f t="shared" si="0"/>
      </c>
      <c r="L32" s="32">
        <f>IF($A32="","",C32*SUMIFS(Settings!$B$21:$B$25,Settings!$A$21:$A$25,SUMPRODUCT(MAX((Settings!$A$21:$A$25&lt;=$A32)*Settings!$A$21:$A$25)))+D32*SUMIFS(Settings!$C$21:$C$25,Settings!$A$21:$A$25,SUMPRODUCT(MAX((Settings!$A$21:$A$25&lt;=$A32)*Settings!$A$21:$A$25))))</f>
      </c>
      <c r="M32" s="32">
        <f>IF($A32="","",L32*IFERROR(INDEX(Settings!$B$30:$B$36,MATCH($B32,Settings!$A$30:$A$36,0)),0))</f>
      </c>
      <c r="N32" s="32">
        <f t="shared" si="1"/>
      </c>
      <c r="O32" s="33">
        <f t="shared" si="2"/>
      </c>
      <c r="P32" s="32">
        <f t="shared" si="3"/>
      </c>
      <c r="Q32" s="33">
        <f t="shared" si="4"/>
      </c>
    </row>
    <row r="33" spans="1:17" x14ac:dyDescent="0.25">
      <c r="A33" s="22"/>
      <c r="B33" s="5"/>
      <c r="C33" s="5"/>
      <c r="D33" s="5"/>
      <c r="E33" s="5"/>
      <c r="F33" s="5"/>
      <c r="G33" s="5"/>
      <c r="H33" s="23"/>
      <c r="I33" s="23"/>
      <c r="J33" s="5"/>
      <c r="K33" s="31">
        <f t="shared" si="0"/>
      </c>
      <c r="L33" s="32">
        <f>IF($A33="","",C33*SUMIFS(Settings!$B$21:$B$25,Settings!$A$21:$A$25,SUMPRODUCT(MAX((Settings!$A$21:$A$25&lt;=$A33)*Settings!$A$21:$A$25)))+D33*SUMIFS(Settings!$C$21:$C$25,Settings!$A$21:$A$25,SUMPRODUCT(MAX((Settings!$A$21:$A$25&lt;=$A33)*Settings!$A$21:$A$25))))</f>
      </c>
      <c r="M33" s="32">
        <f>IF($A33="","",L33*IFERROR(INDEX(Settings!$B$30:$B$36,MATCH($B33,Settings!$A$30:$A$36,0)),0))</f>
      </c>
      <c r="N33" s="32">
        <f t="shared" si="1"/>
      </c>
      <c r="O33" s="33">
        <f t="shared" si="2"/>
      </c>
      <c r="P33" s="32">
        <f t="shared" si="3"/>
      </c>
      <c r="Q33" s="33">
        <f t="shared" si="4"/>
      </c>
    </row>
    <row r="34" spans="1:17" x14ac:dyDescent="0.25">
      <c r="A34" s="22"/>
      <c r="B34" s="5"/>
      <c r="C34" s="5"/>
      <c r="D34" s="5"/>
      <c r="E34" s="5"/>
      <c r="F34" s="5"/>
      <c r="G34" s="5"/>
      <c r="H34" s="23"/>
      <c r="I34" s="23"/>
      <c r="J34" s="5"/>
      <c r="K34" s="31">
        <f t="shared" si="0"/>
      </c>
      <c r="L34" s="32">
        <f>IF($A34="","",C34*SUMIFS(Settings!$B$21:$B$25,Settings!$A$21:$A$25,SUMPRODUCT(MAX((Settings!$A$21:$A$25&lt;=$A34)*Settings!$A$21:$A$25)))+D34*SUMIFS(Settings!$C$21:$C$25,Settings!$A$21:$A$25,SUMPRODUCT(MAX((Settings!$A$21:$A$25&lt;=$A34)*Settings!$A$21:$A$25))))</f>
      </c>
      <c r="M34" s="32">
        <f>IF($A34="","",L34*IFERROR(INDEX(Settings!$B$30:$B$36,MATCH($B34,Settings!$A$30:$A$36,0)),0))</f>
      </c>
      <c r="N34" s="32">
        <f t="shared" si="1"/>
      </c>
      <c r="O34" s="33">
        <f t="shared" si="2"/>
      </c>
      <c r="P34" s="32">
        <f t="shared" si="3"/>
      </c>
      <c r="Q34" s="33">
        <f t="shared" si="4"/>
      </c>
    </row>
    <row r="35" spans="1:17" x14ac:dyDescent="0.25">
      <c r="A35" s="22"/>
      <c r="B35" s="5"/>
      <c r="C35" s="5"/>
      <c r="D35" s="5"/>
      <c r="E35" s="5"/>
      <c r="F35" s="5"/>
      <c r="G35" s="5"/>
      <c r="H35" s="23"/>
      <c r="I35" s="23"/>
      <c r="J35" s="5"/>
      <c r="K35" s="31">
        <f t="shared" si="0"/>
      </c>
      <c r="L35" s="32">
        <f>IF($A35="","",C35*SUMIFS(Settings!$B$21:$B$25,Settings!$A$21:$A$25,SUMPRODUCT(MAX((Settings!$A$21:$A$25&lt;=$A35)*Settings!$A$21:$A$25)))+D35*SUMIFS(Settings!$C$21:$C$25,Settings!$A$21:$A$25,SUMPRODUCT(MAX((Settings!$A$21:$A$25&lt;=$A35)*Settings!$A$21:$A$25))))</f>
      </c>
      <c r="M35" s="32">
        <f>IF($A35="","",L35*IFERROR(INDEX(Settings!$B$30:$B$36,MATCH($B35,Settings!$A$30:$A$36,0)),0))</f>
      </c>
      <c r="N35" s="32">
        <f t="shared" si="1"/>
      </c>
      <c r="O35" s="33">
        <f t="shared" si="2"/>
      </c>
      <c r="P35" s="32">
        <f t="shared" si="3"/>
      </c>
      <c r="Q35" s="33">
        <f t="shared" si="4"/>
      </c>
    </row>
    <row r="36" spans="1:17" x14ac:dyDescent="0.25">
      <c r="A36" s="22"/>
      <c r="B36" s="5"/>
      <c r="C36" s="5"/>
      <c r="D36" s="5"/>
      <c r="E36" s="5"/>
      <c r="F36" s="5"/>
      <c r="G36" s="5"/>
      <c r="H36" s="23"/>
      <c r="I36" s="23"/>
      <c r="J36" s="5"/>
      <c r="K36" s="31">
        <f t="shared" si="0"/>
      </c>
      <c r="L36" s="32">
        <f>IF($A36="","",C36*SUMIFS(Settings!$B$21:$B$25,Settings!$A$21:$A$25,SUMPRODUCT(MAX((Settings!$A$21:$A$25&lt;=$A36)*Settings!$A$21:$A$25)))+D36*SUMIFS(Settings!$C$21:$C$25,Settings!$A$21:$A$25,SUMPRODUCT(MAX((Settings!$A$21:$A$25&lt;=$A36)*Settings!$A$21:$A$25))))</f>
      </c>
      <c r="M36" s="32">
        <f>IF($A36="","",L36*IFERROR(INDEX(Settings!$B$30:$B$36,MATCH($B36,Settings!$A$30:$A$36,0)),0))</f>
      </c>
      <c r="N36" s="32">
        <f t="shared" si="1"/>
      </c>
      <c r="O36" s="33">
        <f t="shared" si="2"/>
      </c>
      <c r="P36" s="32">
        <f t="shared" si="3"/>
      </c>
      <c r="Q36" s="33">
        <f t="shared" si="4"/>
      </c>
    </row>
    <row r="37" spans="1:17" x14ac:dyDescent="0.25">
      <c r="A37" s="22"/>
      <c r="B37" s="5"/>
      <c r="C37" s="5"/>
      <c r="D37" s="5"/>
      <c r="E37" s="5"/>
      <c r="F37" s="5"/>
      <c r="G37" s="5"/>
      <c r="H37" s="23"/>
      <c r="I37" s="23"/>
      <c r="J37" s="5"/>
      <c r="K37" s="31">
        <f t="shared" si="0"/>
      </c>
      <c r="L37" s="32">
        <f>IF($A37="","",C37*SUMIFS(Settings!$B$21:$B$25,Settings!$A$21:$A$25,SUMPRODUCT(MAX((Settings!$A$21:$A$25&lt;=$A37)*Settings!$A$21:$A$25)))+D37*SUMIFS(Settings!$C$21:$C$25,Settings!$A$21:$A$25,SUMPRODUCT(MAX((Settings!$A$21:$A$25&lt;=$A37)*Settings!$A$21:$A$25))))</f>
      </c>
      <c r="M37" s="32">
        <f>IF($A37="","",L37*IFERROR(INDEX(Settings!$B$30:$B$36,MATCH($B37,Settings!$A$30:$A$36,0)),0))</f>
      </c>
      <c r="N37" s="32">
        <f t="shared" si="1"/>
      </c>
      <c r="O37" s="33">
        <f t="shared" si="2"/>
      </c>
      <c r="P37" s="32">
        <f t="shared" si="3"/>
      </c>
      <c r="Q37" s="33">
        <f t="shared" si="4"/>
      </c>
    </row>
    <row r="38" spans="1:17" x14ac:dyDescent="0.25">
      <c r="A38" s="22"/>
      <c r="B38" s="5"/>
      <c r="C38" s="5"/>
      <c r="D38" s="5"/>
      <c r="E38" s="5"/>
      <c r="F38" s="5"/>
      <c r="G38" s="5"/>
      <c r="H38" s="23"/>
      <c r="I38" s="23"/>
      <c r="J38" s="5"/>
      <c r="K38" s="31">
        <f t="shared" si="0"/>
      </c>
      <c r="L38" s="32">
        <f>IF($A38="","",C38*SUMIFS(Settings!$B$21:$B$25,Settings!$A$21:$A$25,SUMPRODUCT(MAX((Settings!$A$21:$A$25&lt;=$A38)*Settings!$A$21:$A$25)))+D38*SUMIFS(Settings!$C$21:$C$25,Settings!$A$21:$A$25,SUMPRODUCT(MAX((Settings!$A$21:$A$25&lt;=$A38)*Settings!$A$21:$A$25))))</f>
      </c>
      <c r="M38" s="32">
        <f>IF($A38="","",L38*IFERROR(INDEX(Settings!$B$30:$B$36,MATCH($B38,Settings!$A$30:$A$36,0)),0))</f>
      </c>
      <c r="N38" s="32">
        <f t="shared" si="1"/>
      </c>
      <c r="O38" s="33">
        <f t="shared" si="2"/>
      </c>
      <c r="P38" s="32">
        <f t="shared" si="3"/>
      </c>
      <c r="Q38" s="33">
        <f t="shared" si="4"/>
      </c>
    </row>
    <row r="39" spans="1:17" x14ac:dyDescent="0.25">
      <c r="A39" s="22"/>
      <c r="B39" s="5"/>
      <c r="C39" s="5"/>
      <c r="D39" s="5"/>
      <c r="E39" s="5"/>
      <c r="F39" s="5"/>
      <c r="G39" s="5"/>
      <c r="H39" s="23"/>
      <c r="I39" s="23"/>
      <c r="J39" s="5"/>
      <c r="K39" s="31">
        <f t="shared" si="0"/>
      </c>
      <c r="L39" s="32">
        <f>IF($A39="","",C39*SUMIFS(Settings!$B$21:$B$25,Settings!$A$21:$A$25,SUMPRODUCT(MAX((Settings!$A$21:$A$25&lt;=$A39)*Settings!$A$21:$A$25)))+D39*SUMIFS(Settings!$C$21:$C$25,Settings!$A$21:$A$25,SUMPRODUCT(MAX((Settings!$A$21:$A$25&lt;=$A39)*Settings!$A$21:$A$25))))</f>
      </c>
      <c r="M39" s="32">
        <f>IF($A39="","",L39*IFERROR(INDEX(Settings!$B$30:$B$36,MATCH($B39,Settings!$A$30:$A$36,0)),0))</f>
      </c>
      <c r="N39" s="32">
        <f t="shared" si="1"/>
      </c>
      <c r="O39" s="33">
        <f t="shared" si="2"/>
      </c>
      <c r="P39" s="32">
        <f t="shared" si="3"/>
      </c>
      <c r="Q39" s="33">
        <f t="shared" si="4"/>
      </c>
    </row>
    <row r="40" spans="1:17" x14ac:dyDescent="0.25">
      <c r="A40" s="22"/>
      <c r="B40" s="5"/>
      <c r="C40" s="5"/>
      <c r="D40" s="5"/>
      <c r="E40" s="5"/>
      <c r="F40" s="5"/>
      <c r="G40" s="5"/>
      <c r="H40" s="23"/>
      <c r="I40" s="23"/>
      <c r="J40" s="5"/>
      <c r="K40" s="31">
        <f t="shared" si="0"/>
      </c>
      <c r="L40" s="32">
        <f>IF($A40="","",C40*SUMIFS(Settings!$B$21:$B$25,Settings!$A$21:$A$25,SUMPRODUCT(MAX((Settings!$A$21:$A$25&lt;=$A40)*Settings!$A$21:$A$25)))+D40*SUMIFS(Settings!$C$21:$C$25,Settings!$A$21:$A$25,SUMPRODUCT(MAX((Settings!$A$21:$A$25&lt;=$A40)*Settings!$A$21:$A$25))))</f>
      </c>
      <c r="M40" s="32">
        <f>IF($A40="","",L40*IFERROR(INDEX(Settings!$B$30:$B$36,MATCH($B40,Settings!$A$30:$A$36,0)),0))</f>
      </c>
      <c r="N40" s="32">
        <f t="shared" si="1"/>
      </c>
      <c r="O40" s="33">
        <f t="shared" si="2"/>
      </c>
      <c r="P40" s="32">
        <f t="shared" si="3"/>
      </c>
      <c r="Q40" s="33">
        <f t="shared" si="4"/>
      </c>
    </row>
    <row r="41" spans="1:17" x14ac:dyDescent="0.25">
      <c r="A41" s="22"/>
      <c r="B41" s="5"/>
      <c r="C41" s="5"/>
      <c r="D41" s="5"/>
      <c r="E41" s="5"/>
      <c r="F41" s="5"/>
      <c r="G41" s="5"/>
      <c r="H41" s="23"/>
      <c r="I41" s="23"/>
      <c r="J41" s="5"/>
      <c r="K41" s="31">
        <f t="shared" si="0"/>
      </c>
      <c r="L41" s="32">
        <f>IF($A41="","",C41*SUMIFS(Settings!$B$21:$B$25,Settings!$A$21:$A$25,SUMPRODUCT(MAX((Settings!$A$21:$A$25&lt;=$A41)*Settings!$A$21:$A$25)))+D41*SUMIFS(Settings!$C$21:$C$25,Settings!$A$21:$A$25,SUMPRODUCT(MAX((Settings!$A$21:$A$25&lt;=$A41)*Settings!$A$21:$A$25))))</f>
      </c>
      <c r="M41" s="32">
        <f>IF($A41="","",L41*IFERROR(INDEX(Settings!$B$30:$B$36,MATCH($B41,Settings!$A$30:$A$36,0)),0))</f>
      </c>
      <c r="N41" s="32">
        <f t="shared" si="1"/>
      </c>
      <c r="O41" s="33">
        <f t="shared" si="2"/>
      </c>
      <c r="P41" s="32">
        <f t="shared" si="3"/>
      </c>
      <c r="Q41" s="33">
        <f t="shared" si="4"/>
      </c>
    </row>
    <row r="42" spans="1:17" x14ac:dyDescent="0.25">
      <c r="A42" s="22"/>
      <c r="B42" s="5"/>
      <c r="C42" s="5"/>
      <c r="D42" s="5"/>
      <c r="E42" s="5"/>
      <c r="F42" s="5"/>
      <c r="G42" s="5"/>
      <c r="H42" s="23"/>
      <c r="I42" s="23"/>
      <c r="J42" s="5"/>
      <c r="K42" s="31">
        <f t="shared" si="0"/>
      </c>
      <c r="L42" s="32">
        <f>IF($A42="","",C42*SUMIFS(Settings!$B$21:$B$25,Settings!$A$21:$A$25,SUMPRODUCT(MAX((Settings!$A$21:$A$25&lt;=$A42)*Settings!$A$21:$A$25)))+D42*SUMIFS(Settings!$C$21:$C$25,Settings!$A$21:$A$25,SUMPRODUCT(MAX((Settings!$A$21:$A$25&lt;=$A42)*Settings!$A$21:$A$25))))</f>
      </c>
      <c r="M42" s="32">
        <f>IF($A42="","",L42*IFERROR(INDEX(Settings!$B$30:$B$36,MATCH($B42,Settings!$A$30:$A$36,0)),0))</f>
      </c>
      <c r="N42" s="32">
        <f t="shared" si="1"/>
      </c>
      <c r="O42" s="33">
        <f t="shared" si="2"/>
      </c>
      <c r="P42" s="32">
        <f t="shared" si="3"/>
      </c>
      <c r="Q42" s="33">
        <f t="shared" si="4"/>
      </c>
    </row>
    <row r="43" spans="1:17" x14ac:dyDescent="0.25">
      <c r="A43" s="22"/>
      <c r="B43" s="5"/>
      <c r="C43" s="5"/>
      <c r="D43" s="5"/>
      <c r="E43" s="5"/>
      <c r="F43" s="5"/>
      <c r="G43" s="5"/>
      <c r="H43" s="23"/>
      <c r="I43" s="23"/>
      <c r="J43" s="5"/>
      <c r="K43" s="31">
        <f t="shared" si="0"/>
      </c>
      <c r="L43" s="32">
        <f>IF($A43="","",C43*SUMIFS(Settings!$B$21:$B$25,Settings!$A$21:$A$25,SUMPRODUCT(MAX((Settings!$A$21:$A$25&lt;=$A43)*Settings!$A$21:$A$25)))+D43*SUMIFS(Settings!$C$21:$C$25,Settings!$A$21:$A$25,SUMPRODUCT(MAX((Settings!$A$21:$A$25&lt;=$A43)*Settings!$A$21:$A$25))))</f>
      </c>
      <c r="M43" s="32">
        <f>IF($A43="","",L43*IFERROR(INDEX(Settings!$B$30:$B$36,MATCH($B43,Settings!$A$30:$A$36,0)),0))</f>
      </c>
      <c r="N43" s="32">
        <f t="shared" si="1"/>
      </c>
      <c r="O43" s="33">
        <f t="shared" si="2"/>
      </c>
      <c r="P43" s="32">
        <f t="shared" si="3"/>
      </c>
      <c r="Q43" s="33">
        <f t="shared" si="4"/>
      </c>
    </row>
    <row r="44" spans="1:17" x14ac:dyDescent="0.25">
      <c r="A44" s="22"/>
      <c r="B44" s="5"/>
      <c r="C44" s="5"/>
      <c r="D44" s="5"/>
      <c r="E44" s="5"/>
      <c r="F44" s="5"/>
      <c r="G44" s="5"/>
      <c r="H44" s="23"/>
      <c r="I44" s="23"/>
      <c r="J44" s="5"/>
      <c r="K44" s="31">
        <f t="shared" si="0"/>
      </c>
      <c r="L44" s="32">
        <f>IF($A44="","",C44*SUMIFS(Settings!$B$21:$B$25,Settings!$A$21:$A$25,SUMPRODUCT(MAX((Settings!$A$21:$A$25&lt;=$A44)*Settings!$A$21:$A$25)))+D44*SUMIFS(Settings!$C$21:$C$25,Settings!$A$21:$A$25,SUMPRODUCT(MAX((Settings!$A$21:$A$25&lt;=$A44)*Settings!$A$21:$A$25))))</f>
      </c>
      <c r="M44" s="32">
        <f>IF($A44="","",L44*IFERROR(INDEX(Settings!$B$30:$B$36,MATCH($B44,Settings!$A$30:$A$36,0)),0))</f>
      </c>
      <c r="N44" s="32">
        <f t="shared" si="1"/>
      </c>
      <c r="O44" s="33">
        <f t="shared" si="2"/>
      </c>
      <c r="P44" s="32">
        <f t="shared" si="3"/>
      </c>
      <c r="Q44" s="33">
        <f t="shared" si="4"/>
      </c>
    </row>
    <row r="45" spans="1:17" x14ac:dyDescent="0.25">
      <c r="A45" s="22"/>
      <c r="B45" s="5"/>
      <c r="C45" s="5"/>
      <c r="D45" s="5"/>
      <c r="E45" s="5"/>
      <c r="F45" s="5"/>
      <c r="G45" s="5"/>
      <c r="H45" s="23"/>
      <c r="I45" s="23"/>
      <c r="J45" s="5"/>
      <c r="K45" s="31">
        <f t="shared" si="0"/>
      </c>
      <c r="L45" s="32">
        <f>IF($A45="","",C45*SUMIFS(Settings!$B$21:$B$25,Settings!$A$21:$A$25,SUMPRODUCT(MAX((Settings!$A$21:$A$25&lt;=$A45)*Settings!$A$21:$A$25)))+D45*SUMIFS(Settings!$C$21:$C$25,Settings!$A$21:$A$25,SUMPRODUCT(MAX((Settings!$A$21:$A$25&lt;=$A45)*Settings!$A$21:$A$25))))</f>
      </c>
      <c r="M45" s="32">
        <f>IF($A45="","",L45*IFERROR(INDEX(Settings!$B$30:$B$36,MATCH($B45,Settings!$A$30:$A$36,0)),0))</f>
      </c>
      <c r="N45" s="32">
        <f t="shared" si="1"/>
      </c>
      <c r="O45" s="33">
        <f t="shared" si="2"/>
      </c>
      <c r="P45" s="32">
        <f t="shared" si="3"/>
      </c>
      <c r="Q45" s="33">
        <f t="shared" si="4"/>
      </c>
    </row>
    <row r="46" spans="1:17" x14ac:dyDescent="0.25">
      <c r="A46" s="22"/>
      <c r="B46" s="5"/>
      <c r="C46" s="5"/>
      <c r="D46" s="5"/>
      <c r="E46" s="5"/>
      <c r="F46" s="5"/>
      <c r="G46" s="5"/>
      <c r="H46" s="23"/>
      <c r="I46" s="23"/>
      <c r="J46" s="5"/>
      <c r="K46" s="31">
        <f t="shared" si="0"/>
      </c>
      <c r="L46" s="32">
        <f>IF($A46="","",C46*SUMIFS(Settings!$B$21:$B$25,Settings!$A$21:$A$25,SUMPRODUCT(MAX((Settings!$A$21:$A$25&lt;=$A46)*Settings!$A$21:$A$25)))+D46*SUMIFS(Settings!$C$21:$C$25,Settings!$A$21:$A$25,SUMPRODUCT(MAX((Settings!$A$21:$A$25&lt;=$A46)*Settings!$A$21:$A$25))))</f>
      </c>
      <c r="M46" s="32">
        <f>IF($A46="","",L46*IFERROR(INDEX(Settings!$B$30:$B$36,MATCH($B46,Settings!$A$30:$A$36,0)),0))</f>
      </c>
      <c r="N46" s="32">
        <f t="shared" si="1"/>
      </c>
      <c r="O46" s="33">
        <f t="shared" si="2"/>
      </c>
      <c r="P46" s="32">
        <f t="shared" si="3"/>
      </c>
      <c r="Q46" s="33">
        <f t="shared" si="4"/>
      </c>
    </row>
    <row r="47" spans="1:17" x14ac:dyDescent="0.25">
      <c r="A47" s="22"/>
      <c r="B47" s="5"/>
      <c r="C47" s="5"/>
      <c r="D47" s="5"/>
      <c r="E47" s="5"/>
      <c r="F47" s="5"/>
      <c r="G47" s="5"/>
      <c r="H47" s="23"/>
      <c r="I47" s="23"/>
      <c r="J47" s="5"/>
      <c r="K47" s="31">
        <f t="shared" si="0"/>
      </c>
      <c r="L47" s="32">
        <f>IF($A47="","",C47*SUMIFS(Settings!$B$21:$B$25,Settings!$A$21:$A$25,SUMPRODUCT(MAX((Settings!$A$21:$A$25&lt;=$A47)*Settings!$A$21:$A$25)))+D47*SUMIFS(Settings!$C$21:$C$25,Settings!$A$21:$A$25,SUMPRODUCT(MAX((Settings!$A$21:$A$25&lt;=$A47)*Settings!$A$21:$A$25))))</f>
      </c>
      <c r="M47" s="32">
        <f>IF($A47="","",L47*IFERROR(INDEX(Settings!$B$30:$B$36,MATCH($B47,Settings!$A$30:$A$36,0)),0))</f>
      </c>
      <c r="N47" s="32">
        <f t="shared" si="1"/>
      </c>
      <c r="O47" s="33">
        <f t="shared" si="2"/>
      </c>
      <c r="P47" s="32">
        <f t="shared" si="3"/>
      </c>
      <c r="Q47" s="33">
        <f t="shared" si="4"/>
      </c>
    </row>
    <row r="48" spans="1:17" x14ac:dyDescent="0.25">
      <c r="A48" s="22"/>
      <c r="B48" s="5"/>
      <c r="C48" s="5"/>
      <c r="D48" s="5"/>
      <c r="E48" s="5"/>
      <c r="F48" s="5"/>
      <c r="G48" s="5"/>
      <c r="H48" s="23"/>
      <c r="I48" s="23"/>
      <c r="J48" s="5"/>
      <c r="K48" s="31">
        <f t="shared" si="0"/>
      </c>
      <c r="L48" s="32">
        <f>IF($A48="","",C48*SUMIFS(Settings!$B$21:$B$25,Settings!$A$21:$A$25,SUMPRODUCT(MAX((Settings!$A$21:$A$25&lt;=$A48)*Settings!$A$21:$A$25)))+D48*SUMIFS(Settings!$C$21:$C$25,Settings!$A$21:$A$25,SUMPRODUCT(MAX((Settings!$A$21:$A$25&lt;=$A48)*Settings!$A$21:$A$25))))</f>
      </c>
      <c r="M48" s="32">
        <f>IF($A48="","",L48*IFERROR(INDEX(Settings!$B$30:$B$36,MATCH($B48,Settings!$A$30:$A$36,0)),0))</f>
      </c>
      <c r="N48" s="32">
        <f t="shared" si="1"/>
      </c>
      <c r="O48" s="33">
        <f t="shared" si="2"/>
      </c>
      <c r="P48" s="32">
        <f t="shared" si="3"/>
      </c>
      <c r="Q48" s="33">
        <f t="shared" si="4"/>
      </c>
    </row>
    <row r="49" spans="1:17" x14ac:dyDescent="0.25">
      <c r="A49" s="22"/>
      <c r="B49" s="5"/>
      <c r="C49" s="5"/>
      <c r="D49" s="5"/>
      <c r="E49" s="5"/>
      <c r="F49" s="5"/>
      <c r="G49" s="5"/>
      <c r="H49" s="23"/>
      <c r="I49" s="23"/>
      <c r="J49" s="5"/>
      <c r="K49" s="31">
        <f t="shared" si="0"/>
      </c>
      <c r="L49" s="32">
        <f>IF($A49="","",C49*SUMIFS(Settings!$B$21:$B$25,Settings!$A$21:$A$25,SUMPRODUCT(MAX((Settings!$A$21:$A$25&lt;=$A49)*Settings!$A$21:$A$25)))+D49*SUMIFS(Settings!$C$21:$C$25,Settings!$A$21:$A$25,SUMPRODUCT(MAX((Settings!$A$21:$A$25&lt;=$A49)*Settings!$A$21:$A$25))))</f>
      </c>
      <c r="M49" s="32">
        <f>IF($A49="","",L49*IFERROR(INDEX(Settings!$B$30:$B$36,MATCH($B49,Settings!$A$30:$A$36,0)),0))</f>
      </c>
      <c r="N49" s="32">
        <f t="shared" si="1"/>
      </c>
      <c r="O49" s="33">
        <f t="shared" si="2"/>
      </c>
      <c r="P49" s="32">
        <f t="shared" si="3"/>
      </c>
      <c r="Q49" s="33">
        <f t="shared" si="4"/>
      </c>
    </row>
    <row r="50" spans="1:17" x14ac:dyDescent="0.25">
      <c r="A50" s="22"/>
      <c r="B50" s="5"/>
      <c r="C50" s="5"/>
      <c r="D50" s="5"/>
      <c r="E50" s="5"/>
      <c r="F50" s="5"/>
      <c r="G50" s="5"/>
      <c r="H50" s="23"/>
      <c r="I50" s="23"/>
      <c r="J50" s="5"/>
      <c r="K50" s="31">
        <f t="shared" si="0"/>
      </c>
      <c r="L50" s="32">
        <f>IF($A50="","",C50*SUMIFS(Settings!$B$21:$B$25,Settings!$A$21:$A$25,SUMPRODUCT(MAX((Settings!$A$21:$A$25&lt;=$A50)*Settings!$A$21:$A$25)))+D50*SUMIFS(Settings!$C$21:$C$25,Settings!$A$21:$A$25,SUMPRODUCT(MAX((Settings!$A$21:$A$25&lt;=$A50)*Settings!$A$21:$A$25))))</f>
      </c>
      <c r="M50" s="32">
        <f>IF($A50="","",L50*IFERROR(INDEX(Settings!$B$30:$B$36,MATCH($B50,Settings!$A$30:$A$36,0)),0))</f>
      </c>
      <c r="N50" s="32">
        <f t="shared" si="1"/>
      </c>
      <c r="O50" s="33">
        <f t="shared" si="2"/>
      </c>
      <c r="P50" s="32">
        <f t="shared" si="3"/>
      </c>
      <c r="Q50" s="33">
        <f t="shared" si="4"/>
      </c>
    </row>
    <row r="51" spans="1:17" x14ac:dyDescent="0.25">
      <c r="A51" s="22"/>
      <c r="B51" s="5"/>
      <c r="C51" s="5"/>
      <c r="D51" s="5"/>
      <c r="E51" s="5"/>
      <c r="F51" s="5"/>
      <c r="G51" s="5"/>
      <c r="H51" s="23"/>
      <c r="I51" s="23"/>
      <c r="J51" s="5"/>
      <c r="K51" s="31">
        <f t="shared" si="0"/>
      </c>
      <c r="L51" s="32">
        <f>IF($A51="","",C51*SUMIFS(Settings!$B$21:$B$25,Settings!$A$21:$A$25,SUMPRODUCT(MAX((Settings!$A$21:$A$25&lt;=$A51)*Settings!$A$21:$A$25)))+D51*SUMIFS(Settings!$C$21:$C$25,Settings!$A$21:$A$25,SUMPRODUCT(MAX((Settings!$A$21:$A$25&lt;=$A51)*Settings!$A$21:$A$25))))</f>
      </c>
      <c r="M51" s="32">
        <f>IF($A51="","",L51*IFERROR(INDEX(Settings!$B$30:$B$36,MATCH($B51,Settings!$A$30:$A$36,0)),0))</f>
      </c>
      <c r="N51" s="32">
        <f t="shared" si="1"/>
      </c>
      <c r="O51" s="33">
        <f t="shared" si="2"/>
      </c>
      <c r="P51" s="32">
        <f t="shared" si="3"/>
      </c>
      <c r="Q51" s="33">
        <f t="shared" si="4"/>
      </c>
    </row>
    <row r="52" spans="1:17" x14ac:dyDescent="0.25">
      <c r="A52" s="22"/>
      <c r="B52" s="5"/>
      <c r="C52" s="5"/>
      <c r="D52" s="5"/>
      <c r="E52" s="5"/>
      <c r="F52" s="5"/>
      <c r="G52" s="5"/>
      <c r="H52" s="23"/>
      <c r="I52" s="23"/>
      <c r="J52" s="5"/>
      <c r="K52" s="31">
        <f t="shared" si="0"/>
      </c>
      <c r="L52" s="32">
        <f>IF($A52="","",C52*SUMIFS(Settings!$B$21:$B$25,Settings!$A$21:$A$25,SUMPRODUCT(MAX((Settings!$A$21:$A$25&lt;=$A52)*Settings!$A$21:$A$25)))+D52*SUMIFS(Settings!$C$21:$C$25,Settings!$A$21:$A$25,SUMPRODUCT(MAX((Settings!$A$21:$A$25&lt;=$A52)*Settings!$A$21:$A$25))))</f>
      </c>
      <c r="M52" s="32">
        <f>IF($A52="","",L52*IFERROR(INDEX(Settings!$B$30:$B$36,MATCH($B52,Settings!$A$30:$A$36,0)),0))</f>
      </c>
      <c r="N52" s="32">
        <f t="shared" si="1"/>
      </c>
      <c r="O52" s="33">
        <f t="shared" si="2"/>
      </c>
      <c r="P52" s="32">
        <f t="shared" si="3"/>
      </c>
      <c r="Q52" s="33">
        <f t="shared" si="4"/>
      </c>
    </row>
    <row r="53" spans="1:17" x14ac:dyDescent="0.25">
      <c r="A53" s="22"/>
      <c r="B53" s="5"/>
      <c r="C53" s="5"/>
      <c r="D53" s="5"/>
      <c r="E53" s="5"/>
      <c r="F53" s="5"/>
      <c r="G53" s="5"/>
      <c r="H53" s="23"/>
      <c r="I53" s="23"/>
      <c r="J53" s="5"/>
      <c r="K53" s="31">
        <f t="shared" si="0"/>
      </c>
      <c r="L53" s="32">
        <f>IF($A53="","",C53*SUMIFS(Settings!$B$21:$B$25,Settings!$A$21:$A$25,SUMPRODUCT(MAX((Settings!$A$21:$A$25&lt;=$A53)*Settings!$A$21:$A$25)))+D53*SUMIFS(Settings!$C$21:$C$25,Settings!$A$21:$A$25,SUMPRODUCT(MAX((Settings!$A$21:$A$25&lt;=$A53)*Settings!$A$21:$A$25))))</f>
      </c>
      <c r="M53" s="32">
        <f>IF($A53="","",L53*IFERROR(INDEX(Settings!$B$30:$B$36,MATCH($B53,Settings!$A$30:$A$36,0)),0))</f>
      </c>
      <c r="N53" s="32">
        <f t="shared" si="1"/>
      </c>
      <c r="O53" s="33">
        <f t="shared" si="2"/>
      </c>
      <c r="P53" s="32">
        <f t="shared" si="3"/>
      </c>
      <c r="Q53" s="33">
        <f t="shared" si="4"/>
      </c>
    </row>
    <row r="54" spans="1:17" x14ac:dyDescent="0.25">
      <c r="A54" s="22"/>
      <c r="B54" s="5"/>
      <c r="C54" s="5"/>
      <c r="D54" s="5"/>
      <c r="E54" s="5"/>
      <c r="F54" s="5"/>
      <c r="G54" s="5"/>
      <c r="H54" s="23"/>
      <c r="I54" s="23"/>
      <c r="J54" s="5"/>
      <c r="K54" s="31">
        <f t="shared" si="0"/>
      </c>
      <c r="L54" s="32">
        <f>IF($A54="","",C54*SUMIFS(Settings!$B$21:$B$25,Settings!$A$21:$A$25,SUMPRODUCT(MAX((Settings!$A$21:$A$25&lt;=$A54)*Settings!$A$21:$A$25)))+D54*SUMIFS(Settings!$C$21:$C$25,Settings!$A$21:$A$25,SUMPRODUCT(MAX((Settings!$A$21:$A$25&lt;=$A54)*Settings!$A$21:$A$25))))</f>
      </c>
      <c r="M54" s="32">
        <f>IF($A54="","",L54*IFERROR(INDEX(Settings!$B$30:$B$36,MATCH($B54,Settings!$A$30:$A$36,0)),0))</f>
      </c>
      <c r="N54" s="32">
        <f t="shared" si="1"/>
      </c>
      <c r="O54" s="33">
        <f t="shared" si="2"/>
      </c>
      <c r="P54" s="32">
        <f t="shared" si="3"/>
      </c>
      <c r="Q54" s="33">
        <f t="shared" si="4"/>
      </c>
    </row>
    <row r="55" spans="1:17" x14ac:dyDescent="0.25">
      <c r="A55" s="22"/>
      <c r="B55" s="5"/>
      <c r="C55" s="5"/>
      <c r="D55" s="5"/>
      <c r="E55" s="5"/>
      <c r="F55" s="5"/>
      <c r="G55" s="5"/>
      <c r="H55" s="23"/>
      <c r="I55" s="23"/>
      <c r="J55" s="5"/>
      <c r="K55" s="31">
        <f t="shared" si="0"/>
      </c>
      <c r="L55" s="32">
        <f>IF($A55="","",C55*SUMIFS(Settings!$B$21:$B$25,Settings!$A$21:$A$25,SUMPRODUCT(MAX((Settings!$A$21:$A$25&lt;=$A55)*Settings!$A$21:$A$25)))+D55*SUMIFS(Settings!$C$21:$C$25,Settings!$A$21:$A$25,SUMPRODUCT(MAX((Settings!$A$21:$A$25&lt;=$A55)*Settings!$A$21:$A$25))))</f>
      </c>
      <c r="M55" s="32">
        <f>IF($A55="","",L55*IFERROR(INDEX(Settings!$B$30:$B$36,MATCH($B55,Settings!$A$30:$A$36,0)),0))</f>
      </c>
      <c r="N55" s="32">
        <f t="shared" si="1"/>
      </c>
      <c r="O55" s="33">
        <f t="shared" si="2"/>
      </c>
      <c r="P55" s="32">
        <f t="shared" si="3"/>
      </c>
      <c r="Q55" s="33">
        <f t="shared" si="4"/>
      </c>
    </row>
    <row r="56" spans="1:17" x14ac:dyDescent="0.25">
      <c r="A56" s="22"/>
      <c r="B56" s="5"/>
      <c r="C56" s="5"/>
      <c r="D56" s="5"/>
      <c r="E56" s="5"/>
      <c r="F56" s="5"/>
      <c r="G56" s="5"/>
      <c r="H56" s="23"/>
      <c r="I56" s="23"/>
      <c r="J56" s="5"/>
      <c r="K56" s="31">
        <f t="shared" si="0"/>
      </c>
      <c r="L56" s="32">
        <f>IF($A56="","",C56*SUMIFS(Settings!$B$21:$B$25,Settings!$A$21:$A$25,SUMPRODUCT(MAX((Settings!$A$21:$A$25&lt;=$A56)*Settings!$A$21:$A$25)))+D56*SUMIFS(Settings!$C$21:$C$25,Settings!$A$21:$A$25,SUMPRODUCT(MAX((Settings!$A$21:$A$25&lt;=$A56)*Settings!$A$21:$A$25))))</f>
      </c>
      <c r="M56" s="32">
        <f>IF($A56="","",L56*IFERROR(INDEX(Settings!$B$30:$B$36,MATCH($B56,Settings!$A$30:$A$36,0)),0))</f>
      </c>
      <c r="N56" s="32">
        <f t="shared" si="1"/>
      </c>
      <c r="O56" s="33">
        <f t="shared" si="2"/>
      </c>
      <c r="P56" s="32">
        <f t="shared" si="3"/>
      </c>
      <c r="Q56" s="33">
        <f t="shared" si="4"/>
      </c>
    </row>
    <row r="57" spans="1:17" x14ac:dyDescent="0.25">
      <c r="A57" s="22"/>
      <c r="B57" s="5"/>
      <c r="C57" s="5"/>
      <c r="D57" s="5"/>
      <c r="E57" s="5"/>
      <c r="F57" s="5"/>
      <c r="G57" s="5"/>
      <c r="H57" s="23"/>
      <c r="I57" s="23"/>
      <c r="J57" s="5"/>
      <c r="K57" s="31">
        <f t="shared" si="0"/>
      </c>
      <c r="L57" s="32">
        <f>IF($A57="","",C57*SUMIFS(Settings!$B$21:$B$25,Settings!$A$21:$A$25,SUMPRODUCT(MAX((Settings!$A$21:$A$25&lt;=$A57)*Settings!$A$21:$A$25)))+D57*SUMIFS(Settings!$C$21:$C$25,Settings!$A$21:$A$25,SUMPRODUCT(MAX((Settings!$A$21:$A$25&lt;=$A57)*Settings!$A$21:$A$25))))</f>
      </c>
      <c r="M57" s="32">
        <f>IF($A57="","",L57*IFERROR(INDEX(Settings!$B$30:$B$36,MATCH($B57,Settings!$A$30:$A$36,0)),0))</f>
      </c>
      <c r="N57" s="32">
        <f t="shared" si="1"/>
      </c>
      <c r="O57" s="33">
        <f t="shared" si="2"/>
      </c>
      <c r="P57" s="32">
        <f t="shared" si="3"/>
      </c>
      <c r="Q57" s="33">
        <f t="shared" si="4"/>
      </c>
    </row>
    <row r="58" spans="1:17" x14ac:dyDescent="0.25">
      <c r="A58" s="22"/>
      <c r="B58" s="5"/>
      <c r="C58" s="5"/>
      <c r="D58" s="5"/>
      <c r="E58" s="5"/>
      <c r="F58" s="5"/>
      <c r="G58" s="5"/>
      <c r="H58" s="23"/>
      <c r="I58" s="23"/>
      <c r="J58" s="5"/>
      <c r="K58" s="31">
        <f t="shared" si="0"/>
      </c>
      <c r="L58" s="32">
        <f>IF($A58="","",C58*SUMIFS(Settings!$B$21:$B$25,Settings!$A$21:$A$25,SUMPRODUCT(MAX((Settings!$A$21:$A$25&lt;=$A58)*Settings!$A$21:$A$25)))+D58*SUMIFS(Settings!$C$21:$C$25,Settings!$A$21:$A$25,SUMPRODUCT(MAX((Settings!$A$21:$A$25&lt;=$A58)*Settings!$A$21:$A$25))))</f>
      </c>
      <c r="M58" s="32">
        <f>IF($A58="","",L58*IFERROR(INDEX(Settings!$B$30:$B$36,MATCH($B58,Settings!$A$30:$A$36,0)),0))</f>
      </c>
      <c r="N58" s="32">
        <f t="shared" si="1"/>
      </c>
      <c r="O58" s="33">
        <f t="shared" si="2"/>
      </c>
      <c r="P58" s="32">
        <f t="shared" si="3"/>
      </c>
      <c r="Q58" s="33">
        <f t="shared" si="4"/>
      </c>
    </row>
    <row r="59" spans="1:17" x14ac:dyDescent="0.25">
      <c r="A59" s="22"/>
      <c r="B59" s="5"/>
      <c r="C59" s="5"/>
      <c r="D59" s="5"/>
      <c r="E59" s="5"/>
      <c r="F59" s="5"/>
      <c r="G59" s="5"/>
      <c r="H59" s="23"/>
      <c r="I59" s="23"/>
      <c r="J59" s="5"/>
      <c r="K59" s="31">
        <f t="shared" si="0"/>
      </c>
      <c r="L59" s="32">
        <f>IF($A59="","",C59*SUMIFS(Settings!$B$21:$B$25,Settings!$A$21:$A$25,SUMPRODUCT(MAX((Settings!$A$21:$A$25&lt;=$A59)*Settings!$A$21:$A$25)))+D59*SUMIFS(Settings!$C$21:$C$25,Settings!$A$21:$A$25,SUMPRODUCT(MAX((Settings!$A$21:$A$25&lt;=$A59)*Settings!$A$21:$A$25))))</f>
      </c>
      <c r="M59" s="32">
        <f>IF($A59="","",L59*IFERROR(INDEX(Settings!$B$30:$B$36,MATCH($B59,Settings!$A$30:$A$36,0)),0))</f>
      </c>
      <c r="N59" s="32">
        <f t="shared" si="1"/>
      </c>
      <c r="O59" s="33">
        <f t="shared" si="2"/>
      </c>
      <c r="P59" s="32">
        <f t="shared" si="3"/>
      </c>
      <c r="Q59" s="33">
        <f t="shared" si="4"/>
      </c>
    </row>
    <row r="60" spans="1:17" x14ac:dyDescent="0.25">
      <c r="A60" s="22"/>
      <c r="B60" s="5"/>
      <c r="C60" s="5"/>
      <c r="D60" s="5"/>
      <c r="E60" s="5"/>
      <c r="F60" s="5"/>
      <c r="G60" s="5"/>
      <c r="H60" s="23"/>
      <c r="I60" s="23"/>
      <c r="J60" s="5"/>
      <c r="K60" s="31">
        <f t="shared" si="0"/>
      </c>
      <c r="L60" s="32">
        <f>IF($A60="","",C60*SUMIFS(Settings!$B$21:$B$25,Settings!$A$21:$A$25,SUMPRODUCT(MAX((Settings!$A$21:$A$25&lt;=$A60)*Settings!$A$21:$A$25)))+D60*SUMIFS(Settings!$C$21:$C$25,Settings!$A$21:$A$25,SUMPRODUCT(MAX((Settings!$A$21:$A$25&lt;=$A60)*Settings!$A$21:$A$25))))</f>
      </c>
      <c r="M60" s="32">
        <f>IF($A60="","",L60*IFERROR(INDEX(Settings!$B$30:$B$36,MATCH($B60,Settings!$A$30:$A$36,0)),0))</f>
      </c>
      <c r="N60" s="32">
        <f t="shared" si="1"/>
      </c>
      <c r="O60" s="33">
        <f t="shared" si="2"/>
      </c>
      <c r="P60" s="32">
        <f t="shared" si="3"/>
      </c>
      <c r="Q60" s="33">
        <f t="shared" si="4"/>
      </c>
    </row>
    <row r="61" spans="1:17" x14ac:dyDescent="0.25">
      <c r="A61" s="22"/>
      <c r="B61" s="5"/>
      <c r="C61" s="5"/>
      <c r="D61" s="5"/>
      <c r="E61" s="5"/>
      <c r="F61" s="5"/>
      <c r="G61" s="5"/>
      <c r="H61" s="23"/>
      <c r="I61" s="23"/>
      <c r="J61" s="5"/>
      <c r="K61" s="31">
        <f t="shared" si="0"/>
      </c>
      <c r="L61" s="32">
        <f>IF($A61="","",C61*SUMIFS(Settings!$B$21:$B$25,Settings!$A$21:$A$25,SUMPRODUCT(MAX((Settings!$A$21:$A$25&lt;=$A61)*Settings!$A$21:$A$25)))+D61*SUMIFS(Settings!$C$21:$C$25,Settings!$A$21:$A$25,SUMPRODUCT(MAX((Settings!$A$21:$A$25&lt;=$A61)*Settings!$A$21:$A$25))))</f>
      </c>
      <c r="M61" s="32">
        <f>IF($A61="","",L61*IFERROR(INDEX(Settings!$B$30:$B$36,MATCH($B61,Settings!$A$30:$A$36,0)),0))</f>
      </c>
      <c r="N61" s="32">
        <f t="shared" si="1"/>
      </c>
      <c r="O61" s="33">
        <f t="shared" si="2"/>
      </c>
      <c r="P61" s="32">
        <f t="shared" si="3"/>
      </c>
      <c r="Q61" s="33">
        <f t="shared" si="4"/>
      </c>
    </row>
    <row r="62" spans="1:17" x14ac:dyDescent="0.25">
      <c r="A62" s="22"/>
      <c r="B62" s="5"/>
      <c r="C62" s="5"/>
      <c r="D62" s="5"/>
      <c r="E62" s="5"/>
      <c r="F62" s="5"/>
      <c r="G62" s="5"/>
      <c r="H62" s="23"/>
      <c r="I62" s="23"/>
      <c r="J62" s="5"/>
      <c r="K62" s="31">
        <f t="shared" si="0"/>
      </c>
      <c r="L62" s="32">
        <f>IF($A62="","",C62*SUMIFS(Settings!$B$21:$B$25,Settings!$A$21:$A$25,SUMPRODUCT(MAX((Settings!$A$21:$A$25&lt;=$A62)*Settings!$A$21:$A$25)))+D62*SUMIFS(Settings!$C$21:$C$25,Settings!$A$21:$A$25,SUMPRODUCT(MAX((Settings!$A$21:$A$25&lt;=$A62)*Settings!$A$21:$A$25))))</f>
      </c>
      <c r="M62" s="32">
        <f>IF($A62="","",L62*IFERROR(INDEX(Settings!$B$30:$B$36,MATCH($B62,Settings!$A$30:$A$36,0)),0))</f>
      </c>
      <c r="N62" s="32">
        <f t="shared" si="1"/>
      </c>
      <c r="O62" s="33">
        <f t="shared" si="2"/>
      </c>
      <c r="P62" s="32">
        <f t="shared" si="3"/>
      </c>
      <c r="Q62" s="33">
        <f t="shared" si="4"/>
      </c>
    </row>
    <row r="63" spans="1:17" x14ac:dyDescent="0.25">
      <c r="A63" s="22"/>
      <c r="B63" s="5"/>
      <c r="C63" s="5"/>
      <c r="D63" s="5"/>
      <c r="E63" s="5"/>
      <c r="F63" s="5"/>
      <c r="G63" s="5"/>
      <c r="H63" s="23"/>
      <c r="I63" s="23"/>
      <c r="J63" s="5"/>
      <c r="K63" s="31">
        <f t="shared" si="0"/>
      </c>
      <c r="L63" s="32">
        <f>IF($A63="","",C63*SUMIFS(Settings!$B$21:$B$25,Settings!$A$21:$A$25,SUMPRODUCT(MAX((Settings!$A$21:$A$25&lt;=$A63)*Settings!$A$21:$A$25)))+D63*SUMIFS(Settings!$C$21:$C$25,Settings!$A$21:$A$25,SUMPRODUCT(MAX((Settings!$A$21:$A$25&lt;=$A63)*Settings!$A$21:$A$25))))</f>
      </c>
      <c r="M63" s="32">
        <f>IF($A63="","",L63*IFERROR(INDEX(Settings!$B$30:$B$36,MATCH($B63,Settings!$A$30:$A$36,0)),0))</f>
      </c>
      <c r="N63" s="32">
        <f t="shared" si="1"/>
      </c>
      <c r="O63" s="33">
        <f t="shared" si="2"/>
      </c>
      <c r="P63" s="32">
        <f t="shared" si="3"/>
      </c>
      <c r="Q63" s="33">
        <f t="shared" si="4"/>
      </c>
    </row>
    <row r="64" spans="1:17" x14ac:dyDescent="0.25">
      <c r="A64" s="22"/>
      <c r="B64" s="5"/>
      <c r="C64" s="5"/>
      <c r="D64" s="5"/>
      <c r="E64" s="5"/>
      <c r="F64" s="5"/>
      <c r="G64" s="5"/>
      <c r="H64" s="23"/>
      <c r="I64" s="23"/>
      <c r="J64" s="5"/>
      <c r="K64" s="31">
        <f t="shared" si="0"/>
      </c>
      <c r="L64" s="32">
        <f>IF($A64="","",C64*SUMIFS(Settings!$B$21:$B$25,Settings!$A$21:$A$25,SUMPRODUCT(MAX((Settings!$A$21:$A$25&lt;=$A64)*Settings!$A$21:$A$25)))+D64*SUMIFS(Settings!$C$21:$C$25,Settings!$A$21:$A$25,SUMPRODUCT(MAX((Settings!$A$21:$A$25&lt;=$A64)*Settings!$A$21:$A$25))))</f>
      </c>
      <c r="M64" s="32">
        <f>IF($A64="","",L64*IFERROR(INDEX(Settings!$B$30:$B$36,MATCH($B64,Settings!$A$30:$A$36,0)),0))</f>
      </c>
      <c r="N64" s="32">
        <f t="shared" si="1"/>
      </c>
      <c r="O64" s="33">
        <f t="shared" si="2"/>
      </c>
      <c r="P64" s="32">
        <f t="shared" si="3"/>
      </c>
      <c r="Q64" s="33">
        <f t="shared" si="4"/>
      </c>
    </row>
    <row r="65" spans="1:17" x14ac:dyDescent="0.25">
      <c r="A65" s="22"/>
      <c r="B65" s="5"/>
      <c r="C65" s="5"/>
      <c r="D65" s="5"/>
      <c r="E65" s="5"/>
      <c r="F65" s="5"/>
      <c r="G65" s="5"/>
      <c r="H65" s="23"/>
      <c r="I65" s="23"/>
      <c r="J65" s="5"/>
      <c r="K65" s="31">
        <f t="shared" si="0"/>
      </c>
      <c r="L65" s="32">
        <f>IF($A65="","",C65*SUMIFS(Settings!$B$21:$B$25,Settings!$A$21:$A$25,SUMPRODUCT(MAX((Settings!$A$21:$A$25&lt;=$A65)*Settings!$A$21:$A$25)))+D65*SUMIFS(Settings!$C$21:$C$25,Settings!$A$21:$A$25,SUMPRODUCT(MAX((Settings!$A$21:$A$25&lt;=$A65)*Settings!$A$21:$A$25))))</f>
      </c>
      <c r="M65" s="32">
        <f>IF($A65="","",L65*IFERROR(INDEX(Settings!$B$30:$B$36,MATCH($B65,Settings!$A$30:$A$36,0)),0))</f>
      </c>
      <c r="N65" s="32">
        <f t="shared" si="1"/>
      </c>
      <c r="O65" s="33">
        <f t="shared" si="2"/>
      </c>
      <c r="P65" s="32">
        <f t="shared" si="3"/>
      </c>
      <c r="Q65" s="33">
        <f t="shared" si="4"/>
      </c>
    </row>
    <row r="66" spans="1:17" x14ac:dyDescent="0.25">
      <c r="A66" s="22"/>
      <c r="B66" s="5"/>
      <c r="C66" s="5"/>
      <c r="D66" s="5"/>
      <c r="E66" s="5"/>
      <c r="F66" s="5"/>
      <c r="G66" s="5"/>
      <c r="H66" s="23"/>
      <c r="I66" s="23"/>
      <c r="J66" s="5"/>
      <c r="K66" s="31">
        <f t="shared" si="0"/>
      </c>
      <c r="L66" s="32">
        <f>IF($A66="","",C66*SUMIFS(Settings!$B$21:$B$25,Settings!$A$21:$A$25,SUMPRODUCT(MAX((Settings!$A$21:$A$25&lt;=$A66)*Settings!$A$21:$A$25)))+D66*SUMIFS(Settings!$C$21:$C$25,Settings!$A$21:$A$25,SUMPRODUCT(MAX((Settings!$A$21:$A$25&lt;=$A66)*Settings!$A$21:$A$25))))</f>
      </c>
      <c r="M66" s="32">
        <f>IF($A66="","",L66*IFERROR(INDEX(Settings!$B$30:$B$36,MATCH($B66,Settings!$A$30:$A$36,0)),0))</f>
      </c>
      <c r="N66" s="32">
        <f t="shared" si="1"/>
      </c>
      <c r="O66" s="33">
        <f t="shared" si="2"/>
      </c>
      <c r="P66" s="32">
        <f t="shared" si="3"/>
      </c>
      <c r="Q66" s="33">
        <f t="shared" si="4"/>
      </c>
    </row>
    <row r="67" spans="1:17" x14ac:dyDescent="0.25">
      <c r="A67" s="22"/>
      <c r="B67" s="5"/>
      <c r="C67" s="5"/>
      <c r="D67" s="5"/>
      <c r="E67" s="5"/>
      <c r="F67" s="5"/>
      <c r="G67" s="5"/>
      <c r="H67" s="23"/>
      <c r="I67" s="23"/>
      <c r="J67" s="5"/>
      <c r="K67" s="31">
        <f t="shared" si="0"/>
      </c>
      <c r="L67" s="32">
        <f>IF($A67="","",C67*SUMIFS(Settings!$B$21:$B$25,Settings!$A$21:$A$25,SUMPRODUCT(MAX((Settings!$A$21:$A$25&lt;=$A67)*Settings!$A$21:$A$25)))+D67*SUMIFS(Settings!$C$21:$C$25,Settings!$A$21:$A$25,SUMPRODUCT(MAX((Settings!$A$21:$A$25&lt;=$A67)*Settings!$A$21:$A$25))))</f>
      </c>
      <c r="M67" s="32">
        <f>IF($A67="","",L67*IFERROR(INDEX(Settings!$B$30:$B$36,MATCH($B67,Settings!$A$30:$A$36,0)),0))</f>
      </c>
      <c r="N67" s="32">
        <f t="shared" si="1"/>
      </c>
      <c r="O67" s="33">
        <f t="shared" si="2"/>
      </c>
      <c r="P67" s="32">
        <f t="shared" si="3"/>
      </c>
      <c r="Q67" s="33">
        <f t="shared" si="4"/>
      </c>
    </row>
    <row r="68" spans="1:17" x14ac:dyDescent="0.25">
      <c r="A68" s="22"/>
      <c r="B68" s="5"/>
      <c r="C68" s="5"/>
      <c r="D68" s="5"/>
      <c r="E68" s="5"/>
      <c r="F68" s="5"/>
      <c r="G68" s="5"/>
      <c r="H68" s="23"/>
      <c r="I68" s="23"/>
      <c r="J68" s="5"/>
      <c r="K68" s="31">
        <f t="shared" si="0"/>
      </c>
      <c r="L68" s="32">
        <f>IF($A68="","",C68*SUMIFS(Settings!$B$21:$B$25,Settings!$A$21:$A$25,SUMPRODUCT(MAX((Settings!$A$21:$A$25&lt;=$A68)*Settings!$A$21:$A$25)))+D68*SUMIFS(Settings!$C$21:$C$25,Settings!$A$21:$A$25,SUMPRODUCT(MAX((Settings!$A$21:$A$25&lt;=$A68)*Settings!$A$21:$A$25))))</f>
      </c>
      <c r="M68" s="32">
        <f>IF($A68="","",L68*IFERROR(INDEX(Settings!$B$30:$B$36,MATCH($B68,Settings!$A$30:$A$36,0)),0))</f>
      </c>
      <c r="N68" s="32">
        <f t="shared" si="1"/>
      </c>
      <c r="O68" s="33">
        <f t="shared" si="2"/>
      </c>
      <c r="P68" s="32">
        <f t="shared" si="3"/>
      </c>
      <c r="Q68" s="33">
        <f t="shared" si="4"/>
      </c>
    </row>
    <row r="69" spans="1:17" x14ac:dyDescent="0.25">
      <c r="A69" s="22"/>
      <c r="B69" s="5"/>
      <c r="C69" s="5"/>
      <c r="D69" s="5"/>
      <c r="E69" s="5"/>
      <c r="F69" s="5"/>
      <c r="G69" s="5"/>
      <c r="H69" s="23"/>
      <c r="I69" s="23"/>
      <c r="J69" s="5"/>
      <c r="K69" s="31">
        <f t="shared" si="0"/>
      </c>
      <c r="L69" s="32">
        <f>IF($A69="","",C69*SUMIFS(Settings!$B$21:$B$25,Settings!$A$21:$A$25,SUMPRODUCT(MAX((Settings!$A$21:$A$25&lt;=$A69)*Settings!$A$21:$A$25)))+D69*SUMIFS(Settings!$C$21:$C$25,Settings!$A$21:$A$25,SUMPRODUCT(MAX((Settings!$A$21:$A$25&lt;=$A69)*Settings!$A$21:$A$25))))</f>
      </c>
      <c r="M69" s="32">
        <f>IF($A69="","",L69*IFERROR(INDEX(Settings!$B$30:$B$36,MATCH($B69,Settings!$A$30:$A$36,0)),0))</f>
      </c>
      <c r="N69" s="32">
        <f t="shared" si="1"/>
      </c>
      <c r="O69" s="33">
        <f t="shared" si="2"/>
      </c>
      <c r="P69" s="32">
        <f t="shared" si="3"/>
      </c>
      <c r="Q69" s="33">
        <f t="shared" si="4"/>
      </c>
    </row>
    <row r="70" spans="1:17" x14ac:dyDescent="0.25">
      <c r="A70" s="22"/>
      <c r="B70" s="5"/>
      <c r="C70" s="5"/>
      <c r="D70" s="5"/>
      <c r="E70" s="5"/>
      <c r="F70" s="5"/>
      <c r="G70" s="5"/>
      <c r="H70" s="23"/>
      <c r="I70" s="23"/>
      <c r="J70" s="5"/>
      <c r="K70" s="31">
        <f t="shared" ref="K70:K133" si="5">IF($A70="","",C70+D70)</f>
      </c>
      <c r="L70" s="32">
        <f>IF($A70="","",C70*SUMIFS(Settings!$B$21:$B$25,Settings!$A$21:$A$25,SUMPRODUCT(MAX((Settings!$A$21:$A$25&lt;=$A70)*Settings!$A$21:$A$25)))+D70*SUMIFS(Settings!$C$21:$C$25,Settings!$A$21:$A$25,SUMPRODUCT(MAX((Settings!$A$21:$A$25&lt;=$A70)*Settings!$A$21:$A$25))))</f>
      </c>
      <c r="M70" s="32">
        <f>IF($A70="","",L70*IFERROR(INDEX(Settings!$B$30:$B$36,MATCH($B70,Settings!$A$30:$A$36,0)),0))</f>
      </c>
      <c r="N70" s="32">
        <f t="shared" ref="N70:N133" si="6">IF(OR($A70="",F70="",G70=""),"",(F70-G70)-(K70+E70))</f>
      </c>
      <c r="O70" s="33">
        <f t="shared" ref="O70:O133" si="7">IF(N70="","",IF(N70=0,"OK","CHECK"))</f>
      </c>
      <c r="P70" s="32">
        <f t="shared" ref="P70:P133" si="8">IF(OR($A70="",AND(H70="",I70="")),"",H70+I70-L70)</f>
      </c>
      <c r="Q70" s="33">
        <f t="shared" ref="Q70:Q133" si="9">IF(P70="","",IF(P70=0,"OK","CHECK"))</f>
      </c>
    </row>
    <row r="71" spans="1:17" x14ac:dyDescent="0.25">
      <c r="A71" s="22"/>
      <c r="B71" s="5"/>
      <c r="C71" s="5"/>
      <c r="D71" s="5"/>
      <c r="E71" s="5"/>
      <c r="F71" s="5"/>
      <c r="G71" s="5"/>
      <c r="H71" s="23"/>
      <c r="I71" s="23"/>
      <c r="J71" s="5"/>
      <c r="K71" s="31">
        <f t="shared" si="5"/>
      </c>
      <c r="L71" s="32">
        <f>IF($A71="","",C71*SUMIFS(Settings!$B$21:$B$25,Settings!$A$21:$A$25,SUMPRODUCT(MAX((Settings!$A$21:$A$25&lt;=$A71)*Settings!$A$21:$A$25)))+D71*SUMIFS(Settings!$C$21:$C$25,Settings!$A$21:$A$25,SUMPRODUCT(MAX((Settings!$A$21:$A$25&lt;=$A71)*Settings!$A$21:$A$25))))</f>
      </c>
      <c r="M71" s="32">
        <f>IF($A71="","",L71*IFERROR(INDEX(Settings!$B$30:$B$36,MATCH($B71,Settings!$A$30:$A$36,0)),0))</f>
      </c>
      <c r="N71" s="32">
        <f t="shared" si="6"/>
      </c>
      <c r="O71" s="33">
        <f t="shared" si="7"/>
      </c>
      <c r="P71" s="32">
        <f t="shared" si="8"/>
      </c>
      <c r="Q71" s="33">
        <f t="shared" si="9"/>
      </c>
    </row>
    <row r="72" spans="1:17" x14ac:dyDescent="0.25">
      <c r="A72" s="22"/>
      <c r="B72" s="5"/>
      <c r="C72" s="5"/>
      <c r="D72" s="5"/>
      <c r="E72" s="5"/>
      <c r="F72" s="5"/>
      <c r="G72" s="5"/>
      <c r="H72" s="23"/>
      <c r="I72" s="23"/>
      <c r="J72" s="5"/>
      <c r="K72" s="31">
        <f t="shared" si="5"/>
      </c>
      <c r="L72" s="32">
        <f>IF($A72="","",C72*SUMIFS(Settings!$B$21:$B$25,Settings!$A$21:$A$25,SUMPRODUCT(MAX((Settings!$A$21:$A$25&lt;=$A72)*Settings!$A$21:$A$25)))+D72*SUMIFS(Settings!$C$21:$C$25,Settings!$A$21:$A$25,SUMPRODUCT(MAX((Settings!$A$21:$A$25&lt;=$A72)*Settings!$A$21:$A$25))))</f>
      </c>
      <c r="M72" s="32">
        <f>IF($A72="","",L72*IFERROR(INDEX(Settings!$B$30:$B$36,MATCH($B72,Settings!$A$30:$A$36,0)),0))</f>
      </c>
      <c r="N72" s="32">
        <f t="shared" si="6"/>
      </c>
      <c r="O72" s="33">
        <f t="shared" si="7"/>
      </c>
      <c r="P72" s="32">
        <f t="shared" si="8"/>
      </c>
      <c r="Q72" s="33">
        <f t="shared" si="9"/>
      </c>
    </row>
    <row r="73" spans="1:17" x14ac:dyDescent="0.25">
      <c r="A73" s="22"/>
      <c r="B73" s="5"/>
      <c r="C73" s="5"/>
      <c r="D73" s="5"/>
      <c r="E73" s="5"/>
      <c r="F73" s="5"/>
      <c r="G73" s="5"/>
      <c r="H73" s="23"/>
      <c r="I73" s="23"/>
      <c r="J73" s="5"/>
      <c r="K73" s="31">
        <f t="shared" si="5"/>
      </c>
      <c r="L73" s="32">
        <f>IF($A73="","",C73*SUMIFS(Settings!$B$21:$B$25,Settings!$A$21:$A$25,SUMPRODUCT(MAX((Settings!$A$21:$A$25&lt;=$A73)*Settings!$A$21:$A$25)))+D73*SUMIFS(Settings!$C$21:$C$25,Settings!$A$21:$A$25,SUMPRODUCT(MAX((Settings!$A$21:$A$25&lt;=$A73)*Settings!$A$21:$A$25))))</f>
      </c>
      <c r="M73" s="32">
        <f>IF($A73="","",L73*IFERROR(INDEX(Settings!$B$30:$B$36,MATCH($B73,Settings!$A$30:$A$36,0)),0))</f>
      </c>
      <c r="N73" s="32">
        <f t="shared" si="6"/>
      </c>
      <c r="O73" s="33">
        <f t="shared" si="7"/>
      </c>
      <c r="P73" s="32">
        <f t="shared" si="8"/>
      </c>
      <c r="Q73" s="33">
        <f t="shared" si="9"/>
      </c>
    </row>
    <row r="74" spans="1:17" x14ac:dyDescent="0.25">
      <c r="A74" s="22"/>
      <c r="B74" s="5"/>
      <c r="C74" s="5"/>
      <c r="D74" s="5"/>
      <c r="E74" s="5"/>
      <c r="F74" s="5"/>
      <c r="G74" s="5"/>
      <c r="H74" s="23"/>
      <c r="I74" s="23"/>
      <c r="J74" s="5"/>
      <c r="K74" s="31">
        <f t="shared" si="5"/>
      </c>
      <c r="L74" s="32">
        <f>IF($A74="","",C74*SUMIFS(Settings!$B$21:$B$25,Settings!$A$21:$A$25,SUMPRODUCT(MAX((Settings!$A$21:$A$25&lt;=$A74)*Settings!$A$21:$A$25)))+D74*SUMIFS(Settings!$C$21:$C$25,Settings!$A$21:$A$25,SUMPRODUCT(MAX((Settings!$A$21:$A$25&lt;=$A74)*Settings!$A$21:$A$25))))</f>
      </c>
      <c r="M74" s="32">
        <f>IF($A74="","",L74*IFERROR(INDEX(Settings!$B$30:$B$36,MATCH($B74,Settings!$A$30:$A$36,0)),0))</f>
      </c>
      <c r="N74" s="32">
        <f t="shared" si="6"/>
      </c>
      <c r="O74" s="33">
        <f t="shared" si="7"/>
      </c>
      <c r="P74" s="32">
        <f t="shared" si="8"/>
      </c>
      <c r="Q74" s="33">
        <f t="shared" si="9"/>
      </c>
    </row>
    <row r="75" spans="1:17" x14ac:dyDescent="0.25">
      <c r="A75" s="22"/>
      <c r="B75" s="5"/>
      <c r="C75" s="5"/>
      <c r="D75" s="5"/>
      <c r="E75" s="5"/>
      <c r="F75" s="5"/>
      <c r="G75" s="5"/>
      <c r="H75" s="23"/>
      <c r="I75" s="23"/>
      <c r="J75" s="5"/>
      <c r="K75" s="31">
        <f t="shared" si="5"/>
      </c>
      <c r="L75" s="32">
        <f>IF($A75="","",C75*SUMIFS(Settings!$B$21:$B$25,Settings!$A$21:$A$25,SUMPRODUCT(MAX((Settings!$A$21:$A$25&lt;=$A75)*Settings!$A$21:$A$25)))+D75*SUMIFS(Settings!$C$21:$C$25,Settings!$A$21:$A$25,SUMPRODUCT(MAX((Settings!$A$21:$A$25&lt;=$A75)*Settings!$A$21:$A$25))))</f>
      </c>
      <c r="M75" s="32">
        <f>IF($A75="","",L75*IFERROR(INDEX(Settings!$B$30:$B$36,MATCH($B75,Settings!$A$30:$A$36,0)),0))</f>
      </c>
      <c r="N75" s="32">
        <f t="shared" si="6"/>
      </c>
      <c r="O75" s="33">
        <f t="shared" si="7"/>
      </c>
      <c r="P75" s="32">
        <f t="shared" si="8"/>
      </c>
      <c r="Q75" s="33">
        <f t="shared" si="9"/>
      </c>
    </row>
    <row r="76" spans="1:17" x14ac:dyDescent="0.25">
      <c r="A76" s="22"/>
      <c r="B76" s="5"/>
      <c r="C76" s="5"/>
      <c r="D76" s="5"/>
      <c r="E76" s="5"/>
      <c r="F76" s="5"/>
      <c r="G76" s="5"/>
      <c r="H76" s="23"/>
      <c r="I76" s="23"/>
      <c r="J76" s="5"/>
      <c r="K76" s="31">
        <f t="shared" si="5"/>
      </c>
      <c r="L76" s="32">
        <f>IF($A76="","",C76*SUMIFS(Settings!$B$21:$B$25,Settings!$A$21:$A$25,SUMPRODUCT(MAX((Settings!$A$21:$A$25&lt;=$A76)*Settings!$A$21:$A$25)))+D76*SUMIFS(Settings!$C$21:$C$25,Settings!$A$21:$A$25,SUMPRODUCT(MAX((Settings!$A$21:$A$25&lt;=$A76)*Settings!$A$21:$A$25))))</f>
      </c>
      <c r="M76" s="32">
        <f>IF($A76="","",L76*IFERROR(INDEX(Settings!$B$30:$B$36,MATCH($B76,Settings!$A$30:$A$36,0)),0))</f>
      </c>
      <c r="N76" s="32">
        <f t="shared" si="6"/>
      </c>
      <c r="O76" s="33">
        <f t="shared" si="7"/>
      </c>
      <c r="P76" s="32">
        <f t="shared" si="8"/>
      </c>
      <c r="Q76" s="33">
        <f t="shared" si="9"/>
      </c>
    </row>
    <row r="77" spans="1:17" x14ac:dyDescent="0.25">
      <c r="A77" s="22"/>
      <c r="B77" s="5"/>
      <c r="C77" s="5"/>
      <c r="D77" s="5"/>
      <c r="E77" s="5"/>
      <c r="F77" s="5"/>
      <c r="G77" s="5"/>
      <c r="H77" s="23"/>
      <c r="I77" s="23"/>
      <c r="J77" s="5"/>
      <c r="K77" s="31">
        <f t="shared" si="5"/>
      </c>
      <c r="L77" s="32">
        <f>IF($A77="","",C77*SUMIFS(Settings!$B$21:$B$25,Settings!$A$21:$A$25,SUMPRODUCT(MAX((Settings!$A$21:$A$25&lt;=$A77)*Settings!$A$21:$A$25)))+D77*SUMIFS(Settings!$C$21:$C$25,Settings!$A$21:$A$25,SUMPRODUCT(MAX((Settings!$A$21:$A$25&lt;=$A77)*Settings!$A$21:$A$25))))</f>
      </c>
      <c r="M77" s="32">
        <f>IF($A77="","",L77*IFERROR(INDEX(Settings!$B$30:$B$36,MATCH($B77,Settings!$A$30:$A$36,0)),0))</f>
      </c>
      <c r="N77" s="32">
        <f t="shared" si="6"/>
      </c>
      <c r="O77" s="33">
        <f t="shared" si="7"/>
      </c>
      <c r="P77" s="32">
        <f t="shared" si="8"/>
      </c>
      <c r="Q77" s="33">
        <f t="shared" si="9"/>
      </c>
    </row>
    <row r="78" spans="1:17" x14ac:dyDescent="0.25">
      <c r="A78" s="22"/>
      <c r="B78" s="5"/>
      <c r="C78" s="5"/>
      <c r="D78" s="5"/>
      <c r="E78" s="5"/>
      <c r="F78" s="5"/>
      <c r="G78" s="5"/>
      <c r="H78" s="23"/>
      <c r="I78" s="23"/>
      <c r="J78" s="5"/>
      <c r="K78" s="31">
        <f t="shared" si="5"/>
      </c>
      <c r="L78" s="32">
        <f>IF($A78="","",C78*SUMIFS(Settings!$B$21:$B$25,Settings!$A$21:$A$25,SUMPRODUCT(MAX((Settings!$A$21:$A$25&lt;=$A78)*Settings!$A$21:$A$25)))+D78*SUMIFS(Settings!$C$21:$C$25,Settings!$A$21:$A$25,SUMPRODUCT(MAX((Settings!$A$21:$A$25&lt;=$A78)*Settings!$A$21:$A$25))))</f>
      </c>
      <c r="M78" s="32">
        <f>IF($A78="","",L78*IFERROR(INDEX(Settings!$B$30:$B$36,MATCH($B78,Settings!$A$30:$A$36,0)),0))</f>
      </c>
      <c r="N78" s="32">
        <f t="shared" si="6"/>
      </c>
      <c r="O78" s="33">
        <f t="shared" si="7"/>
      </c>
      <c r="P78" s="32">
        <f t="shared" si="8"/>
      </c>
      <c r="Q78" s="33">
        <f t="shared" si="9"/>
      </c>
    </row>
    <row r="79" spans="1:17" x14ac:dyDescent="0.25">
      <c r="A79" s="22"/>
      <c r="B79" s="5"/>
      <c r="C79" s="5"/>
      <c r="D79" s="5"/>
      <c r="E79" s="5"/>
      <c r="F79" s="5"/>
      <c r="G79" s="5"/>
      <c r="H79" s="23"/>
      <c r="I79" s="23"/>
      <c r="J79" s="5"/>
      <c r="K79" s="31">
        <f t="shared" si="5"/>
      </c>
      <c r="L79" s="32">
        <f>IF($A79="","",C79*SUMIFS(Settings!$B$21:$B$25,Settings!$A$21:$A$25,SUMPRODUCT(MAX((Settings!$A$21:$A$25&lt;=$A79)*Settings!$A$21:$A$25)))+D79*SUMIFS(Settings!$C$21:$C$25,Settings!$A$21:$A$25,SUMPRODUCT(MAX((Settings!$A$21:$A$25&lt;=$A79)*Settings!$A$21:$A$25))))</f>
      </c>
      <c r="M79" s="32">
        <f>IF($A79="","",L79*IFERROR(INDEX(Settings!$B$30:$B$36,MATCH($B79,Settings!$A$30:$A$36,0)),0))</f>
      </c>
      <c r="N79" s="32">
        <f t="shared" si="6"/>
      </c>
      <c r="O79" s="33">
        <f t="shared" si="7"/>
      </c>
      <c r="P79" s="32">
        <f t="shared" si="8"/>
      </c>
      <c r="Q79" s="33">
        <f t="shared" si="9"/>
      </c>
    </row>
    <row r="80" spans="1:17" x14ac:dyDescent="0.25">
      <c r="A80" s="22"/>
      <c r="B80" s="5"/>
      <c r="C80" s="5"/>
      <c r="D80" s="5"/>
      <c r="E80" s="5"/>
      <c r="F80" s="5"/>
      <c r="G80" s="5"/>
      <c r="H80" s="23"/>
      <c r="I80" s="23"/>
      <c r="J80" s="5"/>
      <c r="K80" s="31">
        <f t="shared" si="5"/>
      </c>
      <c r="L80" s="32">
        <f>IF($A80="","",C80*SUMIFS(Settings!$B$21:$B$25,Settings!$A$21:$A$25,SUMPRODUCT(MAX((Settings!$A$21:$A$25&lt;=$A80)*Settings!$A$21:$A$25)))+D80*SUMIFS(Settings!$C$21:$C$25,Settings!$A$21:$A$25,SUMPRODUCT(MAX((Settings!$A$21:$A$25&lt;=$A80)*Settings!$A$21:$A$25))))</f>
      </c>
      <c r="M80" s="32">
        <f>IF($A80="","",L80*IFERROR(INDEX(Settings!$B$30:$B$36,MATCH($B80,Settings!$A$30:$A$36,0)),0))</f>
      </c>
      <c r="N80" s="32">
        <f t="shared" si="6"/>
      </c>
      <c r="O80" s="33">
        <f t="shared" si="7"/>
      </c>
      <c r="P80" s="32">
        <f t="shared" si="8"/>
      </c>
      <c r="Q80" s="33">
        <f t="shared" si="9"/>
      </c>
    </row>
    <row r="81" spans="1:17" x14ac:dyDescent="0.25">
      <c r="A81" s="22"/>
      <c r="B81" s="5"/>
      <c r="C81" s="5"/>
      <c r="D81" s="5"/>
      <c r="E81" s="5"/>
      <c r="F81" s="5"/>
      <c r="G81" s="5"/>
      <c r="H81" s="23"/>
      <c r="I81" s="23"/>
      <c r="J81" s="5"/>
      <c r="K81" s="31">
        <f t="shared" si="5"/>
      </c>
      <c r="L81" s="32">
        <f>IF($A81="","",C81*SUMIFS(Settings!$B$21:$B$25,Settings!$A$21:$A$25,SUMPRODUCT(MAX((Settings!$A$21:$A$25&lt;=$A81)*Settings!$A$21:$A$25)))+D81*SUMIFS(Settings!$C$21:$C$25,Settings!$A$21:$A$25,SUMPRODUCT(MAX((Settings!$A$21:$A$25&lt;=$A81)*Settings!$A$21:$A$25))))</f>
      </c>
      <c r="M81" s="32">
        <f>IF($A81="","",L81*IFERROR(INDEX(Settings!$B$30:$B$36,MATCH($B81,Settings!$A$30:$A$36,0)),0))</f>
      </c>
      <c r="N81" s="32">
        <f t="shared" si="6"/>
      </c>
      <c r="O81" s="33">
        <f t="shared" si="7"/>
      </c>
      <c r="P81" s="32">
        <f t="shared" si="8"/>
      </c>
      <c r="Q81" s="33">
        <f t="shared" si="9"/>
      </c>
    </row>
    <row r="82" spans="1:17" x14ac:dyDescent="0.25">
      <c r="A82" s="22"/>
      <c r="B82" s="5"/>
      <c r="C82" s="5"/>
      <c r="D82" s="5"/>
      <c r="E82" s="5"/>
      <c r="F82" s="5"/>
      <c r="G82" s="5"/>
      <c r="H82" s="23"/>
      <c r="I82" s="23"/>
      <c r="J82" s="5"/>
      <c r="K82" s="31">
        <f t="shared" si="5"/>
      </c>
      <c r="L82" s="32">
        <f>IF($A82="","",C82*SUMIFS(Settings!$B$21:$B$25,Settings!$A$21:$A$25,SUMPRODUCT(MAX((Settings!$A$21:$A$25&lt;=$A82)*Settings!$A$21:$A$25)))+D82*SUMIFS(Settings!$C$21:$C$25,Settings!$A$21:$A$25,SUMPRODUCT(MAX((Settings!$A$21:$A$25&lt;=$A82)*Settings!$A$21:$A$25))))</f>
      </c>
      <c r="M82" s="32">
        <f>IF($A82="","",L82*IFERROR(INDEX(Settings!$B$30:$B$36,MATCH($B82,Settings!$A$30:$A$36,0)),0))</f>
      </c>
      <c r="N82" s="32">
        <f t="shared" si="6"/>
      </c>
      <c r="O82" s="33">
        <f t="shared" si="7"/>
      </c>
      <c r="P82" s="32">
        <f t="shared" si="8"/>
      </c>
      <c r="Q82" s="33">
        <f t="shared" si="9"/>
      </c>
    </row>
    <row r="83" spans="1:17" x14ac:dyDescent="0.25">
      <c r="A83" s="22"/>
      <c r="B83" s="5"/>
      <c r="C83" s="5"/>
      <c r="D83" s="5"/>
      <c r="E83" s="5"/>
      <c r="F83" s="5"/>
      <c r="G83" s="5"/>
      <c r="H83" s="23"/>
      <c r="I83" s="23"/>
      <c r="J83" s="5"/>
      <c r="K83" s="31">
        <f t="shared" si="5"/>
      </c>
      <c r="L83" s="32">
        <f>IF($A83="","",C83*SUMIFS(Settings!$B$21:$B$25,Settings!$A$21:$A$25,SUMPRODUCT(MAX((Settings!$A$21:$A$25&lt;=$A83)*Settings!$A$21:$A$25)))+D83*SUMIFS(Settings!$C$21:$C$25,Settings!$A$21:$A$25,SUMPRODUCT(MAX((Settings!$A$21:$A$25&lt;=$A83)*Settings!$A$21:$A$25))))</f>
      </c>
      <c r="M83" s="32">
        <f>IF($A83="","",L83*IFERROR(INDEX(Settings!$B$30:$B$36,MATCH($B83,Settings!$A$30:$A$36,0)),0))</f>
      </c>
      <c r="N83" s="32">
        <f t="shared" si="6"/>
      </c>
      <c r="O83" s="33">
        <f t="shared" si="7"/>
      </c>
      <c r="P83" s="32">
        <f t="shared" si="8"/>
      </c>
      <c r="Q83" s="33">
        <f t="shared" si="9"/>
      </c>
    </row>
    <row r="84" spans="1:17" x14ac:dyDescent="0.25">
      <c r="A84" s="22"/>
      <c r="B84" s="5"/>
      <c r="C84" s="5"/>
      <c r="D84" s="5"/>
      <c r="E84" s="5"/>
      <c r="F84" s="5"/>
      <c r="G84" s="5"/>
      <c r="H84" s="23"/>
      <c r="I84" s="23"/>
      <c r="J84" s="5"/>
      <c r="K84" s="31">
        <f t="shared" si="5"/>
      </c>
      <c r="L84" s="32">
        <f>IF($A84="","",C84*SUMIFS(Settings!$B$21:$B$25,Settings!$A$21:$A$25,SUMPRODUCT(MAX((Settings!$A$21:$A$25&lt;=$A84)*Settings!$A$21:$A$25)))+D84*SUMIFS(Settings!$C$21:$C$25,Settings!$A$21:$A$25,SUMPRODUCT(MAX((Settings!$A$21:$A$25&lt;=$A84)*Settings!$A$21:$A$25))))</f>
      </c>
      <c r="M84" s="32">
        <f>IF($A84="","",L84*IFERROR(INDEX(Settings!$B$30:$B$36,MATCH($B84,Settings!$A$30:$A$36,0)),0))</f>
      </c>
      <c r="N84" s="32">
        <f t="shared" si="6"/>
      </c>
      <c r="O84" s="33">
        <f t="shared" si="7"/>
      </c>
      <c r="P84" s="32">
        <f t="shared" si="8"/>
      </c>
      <c r="Q84" s="33">
        <f t="shared" si="9"/>
      </c>
    </row>
    <row r="85" spans="1:17" x14ac:dyDescent="0.25">
      <c r="A85" s="22"/>
      <c r="B85" s="5"/>
      <c r="C85" s="5"/>
      <c r="D85" s="5"/>
      <c r="E85" s="5"/>
      <c r="F85" s="5"/>
      <c r="G85" s="5"/>
      <c r="H85" s="23"/>
      <c r="I85" s="23"/>
      <c r="J85" s="5"/>
      <c r="K85" s="31">
        <f t="shared" si="5"/>
      </c>
      <c r="L85" s="32">
        <f>IF($A85="","",C85*SUMIFS(Settings!$B$21:$B$25,Settings!$A$21:$A$25,SUMPRODUCT(MAX((Settings!$A$21:$A$25&lt;=$A85)*Settings!$A$21:$A$25)))+D85*SUMIFS(Settings!$C$21:$C$25,Settings!$A$21:$A$25,SUMPRODUCT(MAX((Settings!$A$21:$A$25&lt;=$A85)*Settings!$A$21:$A$25))))</f>
      </c>
      <c r="M85" s="32">
        <f>IF($A85="","",L85*IFERROR(INDEX(Settings!$B$30:$B$36,MATCH($B85,Settings!$A$30:$A$36,0)),0))</f>
      </c>
      <c r="N85" s="32">
        <f t="shared" si="6"/>
      </c>
      <c r="O85" s="33">
        <f t="shared" si="7"/>
      </c>
      <c r="P85" s="32">
        <f t="shared" si="8"/>
      </c>
      <c r="Q85" s="33">
        <f t="shared" si="9"/>
      </c>
    </row>
    <row r="86" spans="1:17" x14ac:dyDescent="0.25">
      <c r="A86" s="22"/>
      <c r="B86" s="5"/>
      <c r="C86" s="5"/>
      <c r="D86" s="5"/>
      <c r="E86" s="5"/>
      <c r="F86" s="5"/>
      <c r="G86" s="5"/>
      <c r="H86" s="23"/>
      <c r="I86" s="23"/>
      <c r="J86" s="5"/>
      <c r="K86" s="31">
        <f t="shared" si="5"/>
      </c>
      <c r="L86" s="32">
        <f>IF($A86="","",C86*SUMIFS(Settings!$B$21:$B$25,Settings!$A$21:$A$25,SUMPRODUCT(MAX((Settings!$A$21:$A$25&lt;=$A86)*Settings!$A$21:$A$25)))+D86*SUMIFS(Settings!$C$21:$C$25,Settings!$A$21:$A$25,SUMPRODUCT(MAX((Settings!$A$21:$A$25&lt;=$A86)*Settings!$A$21:$A$25))))</f>
      </c>
      <c r="M86" s="32">
        <f>IF($A86="","",L86*IFERROR(INDEX(Settings!$B$30:$B$36,MATCH($B86,Settings!$A$30:$A$36,0)),0))</f>
      </c>
      <c r="N86" s="32">
        <f t="shared" si="6"/>
      </c>
      <c r="O86" s="33">
        <f t="shared" si="7"/>
      </c>
      <c r="P86" s="32">
        <f t="shared" si="8"/>
      </c>
      <c r="Q86" s="33">
        <f t="shared" si="9"/>
      </c>
    </row>
    <row r="87" spans="1:17" x14ac:dyDescent="0.25">
      <c r="A87" s="22"/>
      <c r="B87" s="5"/>
      <c r="C87" s="5"/>
      <c r="D87" s="5"/>
      <c r="E87" s="5"/>
      <c r="F87" s="5"/>
      <c r="G87" s="5"/>
      <c r="H87" s="23"/>
      <c r="I87" s="23"/>
      <c r="J87" s="5"/>
      <c r="K87" s="31">
        <f t="shared" si="5"/>
      </c>
      <c r="L87" s="32">
        <f>IF($A87="","",C87*SUMIFS(Settings!$B$21:$B$25,Settings!$A$21:$A$25,SUMPRODUCT(MAX((Settings!$A$21:$A$25&lt;=$A87)*Settings!$A$21:$A$25)))+D87*SUMIFS(Settings!$C$21:$C$25,Settings!$A$21:$A$25,SUMPRODUCT(MAX((Settings!$A$21:$A$25&lt;=$A87)*Settings!$A$21:$A$25))))</f>
      </c>
      <c r="M87" s="32">
        <f>IF($A87="","",L87*IFERROR(INDEX(Settings!$B$30:$B$36,MATCH($B87,Settings!$A$30:$A$36,0)),0))</f>
      </c>
      <c r="N87" s="32">
        <f t="shared" si="6"/>
      </c>
      <c r="O87" s="33">
        <f t="shared" si="7"/>
      </c>
      <c r="P87" s="32">
        <f t="shared" si="8"/>
      </c>
      <c r="Q87" s="33">
        <f t="shared" si="9"/>
      </c>
    </row>
    <row r="88" spans="1:17" x14ac:dyDescent="0.25">
      <c r="A88" s="22"/>
      <c r="B88" s="5"/>
      <c r="C88" s="5"/>
      <c r="D88" s="5"/>
      <c r="E88" s="5"/>
      <c r="F88" s="5"/>
      <c r="G88" s="5"/>
      <c r="H88" s="23"/>
      <c r="I88" s="23"/>
      <c r="J88" s="5"/>
      <c r="K88" s="31">
        <f t="shared" si="5"/>
      </c>
      <c r="L88" s="32">
        <f>IF($A88="","",C88*SUMIFS(Settings!$B$21:$B$25,Settings!$A$21:$A$25,SUMPRODUCT(MAX((Settings!$A$21:$A$25&lt;=$A88)*Settings!$A$21:$A$25)))+D88*SUMIFS(Settings!$C$21:$C$25,Settings!$A$21:$A$25,SUMPRODUCT(MAX((Settings!$A$21:$A$25&lt;=$A88)*Settings!$A$21:$A$25))))</f>
      </c>
      <c r="M88" s="32">
        <f>IF($A88="","",L88*IFERROR(INDEX(Settings!$B$30:$B$36,MATCH($B88,Settings!$A$30:$A$36,0)),0))</f>
      </c>
      <c r="N88" s="32">
        <f t="shared" si="6"/>
      </c>
      <c r="O88" s="33">
        <f t="shared" si="7"/>
      </c>
      <c r="P88" s="32">
        <f t="shared" si="8"/>
      </c>
      <c r="Q88" s="33">
        <f t="shared" si="9"/>
      </c>
    </row>
    <row r="89" spans="1:17" x14ac:dyDescent="0.25">
      <c r="A89" s="22"/>
      <c r="B89" s="5"/>
      <c r="C89" s="5"/>
      <c r="D89" s="5"/>
      <c r="E89" s="5"/>
      <c r="F89" s="5"/>
      <c r="G89" s="5"/>
      <c r="H89" s="23"/>
      <c r="I89" s="23"/>
      <c r="J89" s="5"/>
      <c r="K89" s="31">
        <f t="shared" si="5"/>
      </c>
      <c r="L89" s="32">
        <f>IF($A89="","",C89*SUMIFS(Settings!$B$21:$B$25,Settings!$A$21:$A$25,SUMPRODUCT(MAX((Settings!$A$21:$A$25&lt;=$A89)*Settings!$A$21:$A$25)))+D89*SUMIFS(Settings!$C$21:$C$25,Settings!$A$21:$A$25,SUMPRODUCT(MAX((Settings!$A$21:$A$25&lt;=$A89)*Settings!$A$21:$A$25))))</f>
      </c>
      <c r="M89" s="32">
        <f>IF($A89="","",L89*IFERROR(INDEX(Settings!$B$30:$B$36,MATCH($B89,Settings!$A$30:$A$36,0)),0))</f>
      </c>
      <c r="N89" s="32">
        <f t="shared" si="6"/>
      </c>
      <c r="O89" s="33">
        <f t="shared" si="7"/>
      </c>
      <c r="P89" s="32">
        <f t="shared" si="8"/>
      </c>
      <c r="Q89" s="33">
        <f t="shared" si="9"/>
      </c>
    </row>
    <row r="90" spans="1:17" x14ac:dyDescent="0.25">
      <c r="A90" s="22"/>
      <c r="B90" s="5"/>
      <c r="C90" s="5"/>
      <c r="D90" s="5"/>
      <c r="E90" s="5"/>
      <c r="F90" s="5"/>
      <c r="G90" s="5"/>
      <c r="H90" s="23"/>
      <c r="I90" s="23"/>
      <c r="J90" s="5"/>
      <c r="K90" s="31">
        <f t="shared" si="5"/>
      </c>
      <c r="L90" s="32">
        <f>IF($A90="","",C90*SUMIFS(Settings!$B$21:$B$25,Settings!$A$21:$A$25,SUMPRODUCT(MAX((Settings!$A$21:$A$25&lt;=$A90)*Settings!$A$21:$A$25)))+D90*SUMIFS(Settings!$C$21:$C$25,Settings!$A$21:$A$25,SUMPRODUCT(MAX((Settings!$A$21:$A$25&lt;=$A90)*Settings!$A$21:$A$25))))</f>
      </c>
      <c r="M90" s="32">
        <f>IF($A90="","",L90*IFERROR(INDEX(Settings!$B$30:$B$36,MATCH($B90,Settings!$A$30:$A$36,0)),0))</f>
      </c>
      <c r="N90" s="32">
        <f t="shared" si="6"/>
      </c>
      <c r="O90" s="33">
        <f t="shared" si="7"/>
      </c>
      <c r="P90" s="32">
        <f t="shared" si="8"/>
      </c>
      <c r="Q90" s="33">
        <f t="shared" si="9"/>
      </c>
    </row>
    <row r="91" spans="1:17" x14ac:dyDescent="0.25">
      <c r="A91" s="22"/>
      <c r="B91" s="5"/>
      <c r="C91" s="5"/>
      <c r="D91" s="5"/>
      <c r="E91" s="5"/>
      <c r="F91" s="5"/>
      <c r="G91" s="5"/>
      <c r="H91" s="23"/>
      <c r="I91" s="23"/>
      <c r="J91" s="5"/>
      <c r="K91" s="31">
        <f t="shared" si="5"/>
      </c>
      <c r="L91" s="32">
        <f>IF($A91="","",C91*SUMIFS(Settings!$B$21:$B$25,Settings!$A$21:$A$25,SUMPRODUCT(MAX((Settings!$A$21:$A$25&lt;=$A91)*Settings!$A$21:$A$25)))+D91*SUMIFS(Settings!$C$21:$C$25,Settings!$A$21:$A$25,SUMPRODUCT(MAX((Settings!$A$21:$A$25&lt;=$A91)*Settings!$A$21:$A$25))))</f>
      </c>
      <c r="M91" s="32">
        <f>IF($A91="","",L91*IFERROR(INDEX(Settings!$B$30:$B$36,MATCH($B91,Settings!$A$30:$A$36,0)),0))</f>
      </c>
      <c r="N91" s="32">
        <f t="shared" si="6"/>
      </c>
      <c r="O91" s="33">
        <f t="shared" si="7"/>
      </c>
      <c r="P91" s="32">
        <f t="shared" si="8"/>
      </c>
      <c r="Q91" s="33">
        <f t="shared" si="9"/>
      </c>
    </row>
    <row r="92" spans="1:17" x14ac:dyDescent="0.25">
      <c r="A92" s="22"/>
      <c r="B92" s="5"/>
      <c r="C92" s="5"/>
      <c r="D92" s="5"/>
      <c r="E92" s="5"/>
      <c r="F92" s="5"/>
      <c r="G92" s="5"/>
      <c r="H92" s="23"/>
      <c r="I92" s="23"/>
      <c r="J92" s="5"/>
      <c r="K92" s="31">
        <f t="shared" si="5"/>
      </c>
      <c r="L92" s="32">
        <f>IF($A92="","",C92*SUMIFS(Settings!$B$21:$B$25,Settings!$A$21:$A$25,SUMPRODUCT(MAX((Settings!$A$21:$A$25&lt;=$A92)*Settings!$A$21:$A$25)))+D92*SUMIFS(Settings!$C$21:$C$25,Settings!$A$21:$A$25,SUMPRODUCT(MAX((Settings!$A$21:$A$25&lt;=$A92)*Settings!$A$21:$A$25))))</f>
      </c>
      <c r="M92" s="32">
        <f>IF($A92="","",L92*IFERROR(INDEX(Settings!$B$30:$B$36,MATCH($B92,Settings!$A$30:$A$36,0)),0))</f>
      </c>
      <c r="N92" s="32">
        <f t="shared" si="6"/>
      </c>
      <c r="O92" s="33">
        <f t="shared" si="7"/>
      </c>
      <c r="P92" s="32">
        <f t="shared" si="8"/>
      </c>
      <c r="Q92" s="33">
        <f t="shared" si="9"/>
      </c>
    </row>
    <row r="93" spans="1:17" x14ac:dyDescent="0.25">
      <c r="A93" s="22"/>
      <c r="B93" s="5"/>
      <c r="C93" s="5"/>
      <c r="D93" s="5"/>
      <c r="E93" s="5"/>
      <c r="F93" s="5"/>
      <c r="G93" s="5"/>
      <c r="H93" s="23"/>
      <c r="I93" s="23"/>
      <c r="J93" s="5"/>
      <c r="K93" s="31">
        <f t="shared" si="5"/>
      </c>
      <c r="L93" s="32">
        <f>IF($A93="","",C93*SUMIFS(Settings!$B$21:$B$25,Settings!$A$21:$A$25,SUMPRODUCT(MAX((Settings!$A$21:$A$25&lt;=$A93)*Settings!$A$21:$A$25)))+D93*SUMIFS(Settings!$C$21:$C$25,Settings!$A$21:$A$25,SUMPRODUCT(MAX((Settings!$A$21:$A$25&lt;=$A93)*Settings!$A$21:$A$25))))</f>
      </c>
      <c r="M93" s="32">
        <f>IF($A93="","",L93*IFERROR(INDEX(Settings!$B$30:$B$36,MATCH($B93,Settings!$A$30:$A$36,0)),0))</f>
      </c>
      <c r="N93" s="32">
        <f t="shared" si="6"/>
      </c>
      <c r="O93" s="33">
        <f t="shared" si="7"/>
      </c>
      <c r="P93" s="32">
        <f t="shared" si="8"/>
      </c>
      <c r="Q93" s="33">
        <f t="shared" si="9"/>
      </c>
    </row>
    <row r="94" spans="1:17" x14ac:dyDescent="0.25">
      <c r="A94" s="22"/>
      <c r="B94" s="5"/>
      <c r="C94" s="5"/>
      <c r="D94" s="5"/>
      <c r="E94" s="5"/>
      <c r="F94" s="5"/>
      <c r="G94" s="5"/>
      <c r="H94" s="23"/>
      <c r="I94" s="23"/>
      <c r="J94" s="5"/>
      <c r="K94" s="31">
        <f t="shared" si="5"/>
      </c>
      <c r="L94" s="32">
        <f>IF($A94="","",C94*SUMIFS(Settings!$B$21:$B$25,Settings!$A$21:$A$25,SUMPRODUCT(MAX((Settings!$A$21:$A$25&lt;=$A94)*Settings!$A$21:$A$25)))+D94*SUMIFS(Settings!$C$21:$C$25,Settings!$A$21:$A$25,SUMPRODUCT(MAX((Settings!$A$21:$A$25&lt;=$A94)*Settings!$A$21:$A$25))))</f>
      </c>
      <c r="M94" s="32">
        <f>IF($A94="","",L94*IFERROR(INDEX(Settings!$B$30:$B$36,MATCH($B94,Settings!$A$30:$A$36,0)),0))</f>
      </c>
      <c r="N94" s="32">
        <f t="shared" si="6"/>
      </c>
      <c r="O94" s="33">
        <f t="shared" si="7"/>
      </c>
      <c r="P94" s="32">
        <f t="shared" si="8"/>
      </c>
      <c r="Q94" s="33">
        <f t="shared" si="9"/>
      </c>
    </row>
    <row r="95" spans="1:17" x14ac:dyDescent="0.25">
      <c r="A95" s="22"/>
      <c r="B95" s="5"/>
      <c r="C95" s="5"/>
      <c r="D95" s="5"/>
      <c r="E95" s="5"/>
      <c r="F95" s="5"/>
      <c r="G95" s="5"/>
      <c r="H95" s="23"/>
      <c r="I95" s="23"/>
      <c r="J95" s="5"/>
      <c r="K95" s="31">
        <f t="shared" si="5"/>
      </c>
      <c r="L95" s="32">
        <f>IF($A95="","",C95*SUMIFS(Settings!$B$21:$B$25,Settings!$A$21:$A$25,SUMPRODUCT(MAX((Settings!$A$21:$A$25&lt;=$A95)*Settings!$A$21:$A$25)))+D95*SUMIFS(Settings!$C$21:$C$25,Settings!$A$21:$A$25,SUMPRODUCT(MAX((Settings!$A$21:$A$25&lt;=$A95)*Settings!$A$21:$A$25))))</f>
      </c>
      <c r="M95" s="32">
        <f>IF($A95="","",L95*IFERROR(INDEX(Settings!$B$30:$B$36,MATCH($B95,Settings!$A$30:$A$36,0)),0))</f>
      </c>
      <c r="N95" s="32">
        <f t="shared" si="6"/>
      </c>
      <c r="O95" s="33">
        <f t="shared" si="7"/>
      </c>
      <c r="P95" s="32">
        <f t="shared" si="8"/>
      </c>
      <c r="Q95" s="33">
        <f t="shared" si="9"/>
      </c>
    </row>
    <row r="96" spans="1:17" x14ac:dyDescent="0.25">
      <c r="A96" s="22"/>
      <c r="B96" s="5"/>
      <c r="C96" s="5"/>
      <c r="D96" s="5"/>
      <c r="E96" s="5"/>
      <c r="F96" s="5"/>
      <c r="G96" s="5"/>
      <c r="H96" s="23"/>
      <c r="I96" s="23"/>
      <c r="J96" s="5"/>
      <c r="K96" s="31">
        <f t="shared" si="5"/>
      </c>
      <c r="L96" s="32">
        <f>IF($A96="","",C96*SUMIFS(Settings!$B$21:$B$25,Settings!$A$21:$A$25,SUMPRODUCT(MAX((Settings!$A$21:$A$25&lt;=$A96)*Settings!$A$21:$A$25)))+D96*SUMIFS(Settings!$C$21:$C$25,Settings!$A$21:$A$25,SUMPRODUCT(MAX((Settings!$A$21:$A$25&lt;=$A96)*Settings!$A$21:$A$25))))</f>
      </c>
      <c r="M96" s="32">
        <f>IF($A96="","",L96*IFERROR(INDEX(Settings!$B$30:$B$36,MATCH($B96,Settings!$A$30:$A$36,0)),0))</f>
      </c>
      <c r="N96" s="32">
        <f t="shared" si="6"/>
      </c>
      <c r="O96" s="33">
        <f t="shared" si="7"/>
      </c>
      <c r="P96" s="32">
        <f t="shared" si="8"/>
      </c>
      <c r="Q96" s="33">
        <f t="shared" si="9"/>
      </c>
    </row>
    <row r="97" spans="1:17" x14ac:dyDescent="0.25">
      <c r="A97" s="22"/>
      <c r="B97" s="5"/>
      <c r="C97" s="5"/>
      <c r="D97" s="5"/>
      <c r="E97" s="5"/>
      <c r="F97" s="5"/>
      <c r="G97" s="5"/>
      <c r="H97" s="23"/>
      <c r="I97" s="23"/>
      <c r="J97" s="5"/>
      <c r="K97" s="31">
        <f t="shared" si="5"/>
      </c>
      <c r="L97" s="32">
        <f>IF($A97="","",C97*SUMIFS(Settings!$B$21:$B$25,Settings!$A$21:$A$25,SUMPRODUCT(MAX((Settings!$A$21:$A$25&lt;=$A97)*Settings!$A$21:$A$25)))+D97*SUMIFS(Settings!$C$21:$C$25,Settings!$A$21:$A$25,SUMPRODUCT(MAX((Settings!$A$21:$A$25&lt;=$A97)*Settings!$A$21:$A$25))))</f>
      </c>
      <c r="M97" s="32">
        <f>IF($A97="","",L97*IFERROR(INDEX(Settings!$B$30:$B$36,MATCH($B97,Settings!$A$30:$A$36,0)),0))</f>
      </c>
      <c r="N97" s="32">
        <f t="shared" si="6"/>
      </c>
      <c r="O97" s="33">
        <f t="shared" si="7"/>
      </c>
      <c r="P97" s="32">
        <f t="shared" si="8"/>
      </c>
      <c r="Q97" s="33">
        <f t="shared" si="9"/>
      </c>
    </row>
    <row r="98" spans="1:17" x14ac:dyDescent="0.25">
      <c r="A98" s="22"/>
      <c r="B98" s="5"/>
      <c r="C98" s="5"/>
      <c r="D98" s="5"/>
      <c r="E98" s="5"/>
      <c r="F98" s="5"/>
      <c r="G98" s="5"/>
      <c r="H98" s="23"/>
      <c r="I98" s="23"/>
      <c r="J98" s="5"/>
      <c r="K98" s="31">
        <f t="shared" si="5"/>
      </c>
      <c r="L98" s="32">
        <f>IF($A98="","",C98*SUMIFS(Settings!$B$21:$B$25,Settings!$A$21:$A$25,SUMPRODUCT(MAX((Settings!$A$21:$A$25&lt;=$A98)*Settings!$A$21:$A$25)))+D98*SUMIFS(Settings!$C$21:$C$25,Settings!$A$21:$A$25,SUMPRODUCT(MAX((Settings!$A$21:$A$25&lt;=$A98)*Settings!$A$21:$A$25))))</f>
      </c>
      <c r="M98" s="32">
        <f>IF($A98="","",L98*IFERROR(INDEX(Settings!$B$30:$B$36,MATCH($B98,Settings!$A$30:$A$36,0)),0))</f>
      </c>
      <c r="N98" s="32">
        <f t="shared" si="6"/>
      </c>
      <c r="O98" s="33">
        <f t="shared" si="7"/>
      </c>
      <c r="P98" s="32">
        <f t="shared" si="8"/>
      </c>
      <c r="Q98" s="33">
        <f t="shared" si="9"/>
      </c>
    </row>
    <row r="99" spans="1:17" x14ac:dyDescent="0.25">
      <c r="A99" s="22"/>
      <c r="B99" s="5"/>
      <c r="C99" s="5"/>
      <c r="D99" s="5"/>
      <c r="E99" s="5"/>
      <c r="F99" s="5"/>
      <c r="G99" s="5"/>
      <c r="H99" s="23"/>
      <c r="I99" s="23"/>
      <c r="J99" s="5"/>
      <c r="K99" s="31">
        <f t="shared" si="5"/>
      </c>
      <c r="L99" s="32">
        <f>IF($A99="","",C99*SUMIFS(Settings!$B$21:$B$25,Settings!$A$21:$A$25,SUMPRODUCT(MAX((Settings!$A$21:$A$25&lt;=$A99)*Settings!$A$21:$A$25)))+D99*SUMIFS(Settings!$C$21:$C$25,Settings!$A$21:$A$25,SUMPRODUCT(MAX((Settings!$A$21:$A$25&lt;=$A99)*Settings!$A$21:$A$25))))</f>
      </c>
      <c r="M99" s="32">
        <f>IF($A99="","",L99*IFERROR(INDEX(Settings!$B$30:$B$36,MATCH($B99,Settings!$A$30:$A$36,0)),0))</f>
      </c>
      <c r="N99" s="32">
        <f t="shared" si="6"/>
      </c>
      <c r="O99" s="33">
        <f t="shared" si="7"/>
      </c>
      <c r="P99" s="32">
        <f t="shared" si="8"/>
      </c>
      <c r="Q99" s="33">
        <f t="shared" si="9"/>
      </c>
    </row>
    <row r="100" spans="1:17" x14ac:dyDescent="0.25">
      <c r="A100" s="22"/>
      <c r="B100" s="5"/>
      <c r="C100" s="5"/>
      <c r="D100" s="5"/>
      <c r="E100" s="5"/>
      <c r="F100" s="5"/>
      <c r="G100" s="5"/>
      <c r="H100" s="23"/>
      <c r="I100" s="23"/>
      <c r="J100" s="5"/>
      <c r="K100" s="31">
        <f t="shared" si="5"/>
      </c>
      <c r="L100" s="32">
        <f>IF($A100="","",C100*SUMIFS(Settings!$B$21:$B$25,Settings!$A$21:$A$25,SUMPRODUCT(MAX((Settings!$A$21:$A$25&lt;=$A100)*Settings!$A$21:$A$25)))+D100*SUMIFS(Settings!$C$21:$C$25,Settings!$A$21:$A$25,SUMPRODUCT(MAX((Settings!$A$21:$A$25&lt;=$A100)*Settings!$A$21:$A$25))))</f>
      </c>
      <c r="M100" s="32">
        <f>IF($A100="","",L100*IFERROR(INDEX(Settings!$B$30:$B$36,MATCH($B100,Settings!$A$30:$A$36,0)),0))</f>
      </c>
      <c r="N100" s="32">
        <f t="shared" si="6"/>
      </c>
      <c r="O100" s="33">
        <f t="shared" si="7"/>
      </c>
      <c r="P100" s="32">
        <f t="shared" si="8"/>
      </c>
      <c r="Q100" s="33">
        <f t="shared" si="9"/>
      </c>
    </row>
    <row r="101" spans="1:17" x14ac:dyDescent="0.25">
      <c r="A101" s="22"/>
      <c r="B101" s="5"/>
      <c r="C101" s="5"/>
      <c r="D101" s="5"/>
      <c r="E101" s="5"/>
      <c r="F101" s="5"/>
      <c r="G101" s="5"/>
      <c r="H101" s="23"/>
      <c r="I101" s="23"/>
      <c r="J101" s="5"/>
      <c r="K101" s="31">
        <f t="shared" si="5"/>
      </c>
      <c r="L101" s="32">
        <f>IF($A101="","",C101*SUMIFS(Settings!$B$21:$B$25,Settings!$A$21:$A$25,SUMPRODUCT(MAX((Settings!$A$21:$A$25&lt;=$A101)*Settings!$A$21:$A$25)))+D101*SUMIFS(Settings!$C$21:$C$25,Settings!$A$21:$A$25,SUMPRODUCT(MAX((Settings!$A$21:$A$25&lt;=$A101)*Settings!$A$21:$A$25))))</f>
      </c>
      <c r="M101" s="32">
        <f>IF($A101="","",L101*IFERROR(INDEX(Settings!$B$30:$B$36,MATCH($B101,Settings!$A$30:$A$36,0)),0))</f>
      </c>
      <c r="N101" s="32">
        <f t="shared" si="6"/>
      </c>
      <c r="O101" s="33">
        <f t="shared" si="7"/>
      </c>
      <c r="P101" s="32">
        <f t="shared" si="8"/>
      </c>
      <c r="Q101" s="33">
        <f t="shared" si="9"/>
      </c>
    </row>
    <row r="102" spans="1:17" x14ac:dyDescent="0.25">
      <c r="A102" s="22"/>
      <c r="B102" s="5"/>
      <c r="C102" s="5"/>
      <c r="D102" s="5"/>
      <c r="E102" s="5"/>
      <c r="F102" s="5"/>
      <c r="G102" s="5"/>
      <c r="H102" s="23"/>
      <c r="I102" s="23"/>
      <c r="J102" s="5"/>
      <c r="K102" s="31">
        <f t="shared" si="5"/>
      </c>
      <c r="L102" s="32">
        <f>IF($A102="","",C102*SUMIFS(Settings!$B$21:$B$25,Settings!$A$21:$A$25,SUMPRODUCT(MAX((Settings!$A$21:$A$25&lt;=$A102)*Settings!$A$21:$A$25)))+D102*SUMIFS(Settings!$C$21:$C$25,Settings!$A$21:$A$25,SUMPRODUCT(MAX((Settings!$A$21:$A$25&lt;=$A102)*Settings!$A$21:$A$25))))</f>
      </c>
      <c r="M102" s="32">
        <f>IF($A102="","",L102*IFERROR(INDEX(Settings!$B$30:$B$36,MATCH($B102,Settings!$A$30:$A$36,0)),0))</f>
      </c>
      <c r="N102" s="32">
        <f t="shared" si="6"/>
      </c>
      <c r="O102" s="33">
        <f t="shared" si="7"/>
      </c>
      <c r="P102" s="32">
        <f t="shared" si="8"/>
      </c>
      <c r="Q102" s="33">
        <f t="shared" si="9"/>
      </c>
    </row>
    <row r="103" spans="1:17" x14ac:dyDescent="0.25">
      <c r="A103" s="22"/>
      <c r="B103" s="5"/>
      <c r="C103" s="5"/>
      <c r="D103" s="5"/>
      <c r="E103" s="5"/>
      <c r="F103" s="5"/>
      <c r="G103" s="5"/>
      <c r="H103" s="23"/>
      <c r="I103" s="23"/>
      <c r="J103" s="5"/>
      <c r="K103" s="31">
        <f t="shared" si="5"/>
      </c>
      <c r="L103" s="32">
        <f>IF($A103="","",C103*SUMIFS(Settings!$B$21:$B$25,Settings!$A$21:$A$25,SUMPRODUCT(MAX((Settings!$A$21:$A$25&lt;=$A103)*Settings!$A$21:$A$25)))+D103*SUMIFS(Settings!$C$21:$C$25,Settings!$A$21:$A$25,SUMPRODUCT(MAX((Settings!$A$21:$A$25&lt;=$A103)*Settings!$A$21:$A$25))))</f>
      </c>
      <c r="M103" s="32">
        <f>IF($A103="","",L103*IFERROR(INDEX(Settings!$B$30:$B$36,MATCH($B103,Settings!$A$30:$A$36,0)),0))</f>
      </c>
      <c r="N103" s="32">
        <f t="shared" si="6"/>
      </c>
      <c r="O103" s="33">
        <f t="shared" si="7"/>
      </c>
      <c r="P103" s="32">
        <f t="shared" si="8"/>
      </c>
      <c r="Q103" s="33">
        <f t="shared" si="9"/>
      </c>
    </row>
    <row r="104" spans="1:17" x14ac:dyDescent="0.25">
      <c r="A104" s="22"/>
      <c r="B104" s="5"/>
      <c r="C104" s="5"/>
      <c r="D104" s="5"/>
      <c r="E104" s="5"/>
      <c r="F104" s="5"/>
      <c r="G104" s="5"/>
      <c r="H104" s="23"/>
      <c r="I104" s="23"/>
      <c r="J104" s="5"/>
      <c r="K104" s="31">
        <f t="shared" si="5"/>
      </c>
      <c r="L104" s="32">
        <f>IF($A104="","",C104*SUMIFS(Settings!$B$21:$B$25,Settings!$A$21:$A$25,SUMPRODUCT(MAX((Settings!$A$21:$A$25&lt;=$A104)*Settings!$A$21:$A$25)))+D104*SUMIFS(Settings!$C$21:$C$25,Settings!$A$21:$A$25,SUMPRODUCT(MAX((Settings!$A$21:$A$25&lt;=$A104)*Settings!$A$21:$A$25))))</f>
      </c>
      <c r="M104" s="32">
        <f>IF($A104="","",L104*IFERROR(INDEX(Settings!$B$30:$B$36,MATCH($B104,Settings!$A$30:$A$36,0)),0))</f>
      </c>
      <c r="N104" s="32">
        <f t="shared" si="6"/>
      </c>
      <c r="O104" s="33">
        <f t="shared" si="7"/>
      </c>
      <c r="P104" s="32">
        <f t="shared" si="8"/>
      </c>
      <c r="Q104" s="33">
        <f t="shared" si="9"/>
      </c>
    </row>
    <row r="105" spans="1:17" x14ac:dyDescent="0.25">
      <c r="A105" s="22"/>
      <c r="B105" s="5"/>
      <c r="C105" s="5"/>
      <c r="D105" s="5"/>
      <c r="E105" s="5"/>
      <c r="F105" s="5"/>
      <c r="G105" s="5"/>
      <c r="H105" s="23"/>
      <c r="I105" s="23"/>
      <c r="J105" s="5"/>
      <c r="K105" s="31">
        <f t="shared" si="5"/>
      </c>
      <c r="L105" s="32">
        <f>IF($A105="","",C105*SUMIFS(Settings!$B$21:$B$25,Settings!$A$21:$A$25,SUMPRODUCT(MAX((Settings!$A$21:$A$25&lt;=$A105)*Settings!$A$21:$A$25)))+D105*SUMIFS(Settings!$C$21:$C$25,Settings!$A$21:$A$25,SUMPRODUCT(MAX((Settings!$A$21:$A$25&lt;=$A105)*Settings!$A$21:$A$25))))</f>
      </c>
      <c r="M105" s="32">
        <f>IF($A105="","",L105*IFERROR(INDEX(Settings!$B$30:$B$36,MATCH($B105,Settings!$A$30:$A$36,0)),0))</f>
      </c>
      <c r="N105" s="32">
        <f t="shared" si="6"/>
      </c>
      <c r="O105" s="33">
        <f t="shared" si="7"/>
      </c>
      <c r="P105" s="32">
        <f t="shared" si="8"/>
      </c>
      <c r="Q105" s="33">
        <f t="shared" si="9"/>
      </c>
    </row>
    <row r="106" spans="1:17" x14ac:dyDescent="0.25">
      <c r="A106" s="22"/>
      <c r="B106" s="5"/>
      <c r="C106" s="5"/>
      <c r="D106" s="5"/>
      <c r="E106" s="5"/>
      <c r="F106" s="5"/>
      <c r="G106" s="5"/>
      <c r="H106" s="23"/>
      <c r="I106" s="23"/>
      <c r="J106" s="5"/>
      <c r="K106" s="31">
        <f t="shared" si="5"/>
      </c>
      <c r="L106" s="32">
        <f>IF($A106="","",C106*SUMIFS(Settings!$B$21:$B$25,Settings!$A$21:$A$25,SUMPRODUCT(MAX((Settings!$A$21:$A$25&lt;=$A106)*Settings!$A$21:$A$25)))+D106*SUMIFS(Settings!$C$21:$C$25,Settings!$A$21:$A$25,SUMPRODUCT(MAX((Settings!$A$21:$A$25&lt;=$A106)*Settings!$A$21:$A$25))))</f>
      </c>
      <c r="M106" s="32">
        <f>IF($A106="","",L106*IFERROR(INDEX(Settings!$B$30:$B$36,MATCH($B106,Settings!$A$30:$A$36,0)),0))</f>
      </c>
      <c r="N106" s="32">
        <f t="shared" si="6"/>
      </c>
      <c r="O106" s="33">
        <f t="shared" si="7"/>
      </c>
      <c r="P106" s="32">
        <f t="shared" si="8"/>
      </c>
      <c r="Q106" s="33">
        <f t="shared" si="9"/>
      </c>
    </row>
    <row r="107" spans="1:17" x14ac:dyDescent="0.25">
      <c r="A107" s="22"/>
      <c r="B107" s="5"/>
      <c r="C107" s="5"/>
      <c r="D107" s="5"/>
      <c r="E107" s="5"/>
      <c r="F107" s="5"/>
      <c r="G107" s="5"/>
      <c r="H107" s="23"/>
      <c r="I107" s="23"/>
      <c r="J107" s="5"/>
      <c r="K107" s="31">
        <f t="shared" si="5"/>
      </c>
      <c r="L107" s="32">
        <f>IF($A107="","",C107*SUMIFS(Settings!$B$21:$B$25,Settings!$A$21:$A$25,SUMPRODUCT(MAX((Settings!$A$21:$A$25&lt;=$A107)*Settings!$A$21:$A$25)))+D107*SUMIFS(Settings!$C$21:$C$25,Settings!$A$21:$A$25,SUMPRODUCT(MAX((Settings!$A$21:$A$25&lt;=$A107)*Settings!$A$21:$A$25))))</f>
      </c>
      <c r="M107" s="32">
        <f>IF($A107="","",L107*IFERROR(INDEX(Settings!$B$30:$B$36,MATCH($B107,Settings!$A$30:$A$36,0)),0))</f>
      </c>
      <c r="N107" s="32">
        <f t="shared" si="6"/>
      </c>
      <c r="O107" s="33">
        <f t="shared" si="7"/>
      </c>
      <c r="P107" s="32">
        <f t="shared" si="8"/>
      </c>
      <c r="Q107" s="33">
        <f t="shared" si="9"/>
      </c>
    </row>
    <row r="108" spans="1:17" x14ac:dyDescent="0.25">
      <c r="A108" s="22"/>
      <c r="B108" s="5"/>
      <c r="C108" s="5"/>
      <c r="D108" s="5"/>
      <c r="E108" s="5"/>
      <c r="F108" s="5"/>
      <c r="G108" s="5"/>
      <c r="H108" s="23"/>
      <c r="I108" s="23"/>
      <c r="J108" s="5"/>
      <c r="K108" s="31">
        <f t="shared" si="5"/>
      </c>
      <c r="L108" s="32">
        <f>IF($A108="","",C108*SUMIFS(Settings!$B$21:$B$25,Settings!$A$21:$A$25,SUMPRODUCT(MAX((Settings!$A$21:$A$25&lt;=$A108)*Settings!$A$21:$A$25)))+D108*SUMIFS(Settings!$C$21:$C$25,Settings!$A$21:$A$25,SUMPRODUCT(MAX((Settings!$A$21:$A$25&lt;=$A108)*Settings!$A$21:$A$25))))</f>
      </c>
      <c r="M108" s="32">
        <f>IF($A108="","",L108*IFERROR(INDEX(Settings!$B$30:$B$36,MATCH($B108,Settings!$A$30:$A$36,0)),0))</f>
      </c>
      <c r="N108" s="32">
        <f t="shared" si="6"/>
      </c>
      <c r="O108" s="33">
        <f t="shared" si="7"/>
      </c>
      <c r="P108" s="32">
        <f t="shared" si="8"/>
      </c>
      <c r="Q108" s="33">
        <f t="shared" si="9"/>
      </c>
    </row>
    <row r="109" spans="1:17" x14ac:dyDescent="0.25">
      <c r="A109" s="22"/>
      <c r="B109" s="5"/>
      <c r="C109" s="5"/>
      <c r="D109" s="5"/>
      <c r="E109" s="5"/>
      <c r="F109" s="5"/>
      <c r="G109" s="5"/>
      <c r="H109" s="23"/>
      <c r="I109" s="23"/>
      <c r="J109" s="5"/>
      <c r="K109" s="31">
        <f t="shared" si="5"/>
      </c>
      <c r="L109" s="32">
        <f>IF($A109="","",C109*SUMIFS(Settings!$B$21:$B$25,Settings!$A$21:$A$25,SUMPRODUCT(MAX((Settings!$A$21:$A$25&lt;=$A109)*Settings!$A$21:$A$25)))+D109*SUMIFS(Settings!$C$21:$C$25,Settings!$A$21:$A$25,SUMPRODUCT(MAX((Settings!$A$21:$A$25&lt;=$A109)*Settings!$A$21:$A$25))))</f>
      </c>
      <c r="M109" s="32">
        <f>IF($A109="","",L109*IFERROR(INDEX(Settings!$B$30:$B$36,MATCH($B109,Settings!$A$30:$A$36,0)),0))</f>
      </c>
      <c r="N109" s="32">
        <f t="shared" si="6"/>
      </c>
      <c r="O109" s="33">
        <f t="shared" si="7"/>
      </c>
      <c r="P109" s="32">
        <f t="shared" si="8"/>
      </c>
      <c r="Q109" s="33">
        <f t="shared" si="9"/>
      </c>
    </row>
    <row r="110" spans="1:17" x14ac:dyDescent="0.25">
      <c r="A110" s="22"/>
      <c r="B110" s="5"/>
      <c r="C110" s="5"/>
      <c r="D110" s="5"/>
      <c r="E110" s="5"/>
      <c r="F110" s="5"/>
      <c r="G110" s="5"/>
      <c r="H110" s="23"/>
      <c r="I110" s="23"/>
      <c r="J110" s="5"/>
      <c r="K110" s="31">
        <f t="shared" si="5"/>
      </c>
      <c r="L110" s="32">
        <f>IF($A110="","",C110*SUMIFS(Settings!$B$21:$B$25,Settings!$A$21:$A$25,SUMPRODUCT(MAX((Settings!$A$21:$A$25&lt;=$A110)*Settings!$A$21:$A$25)))+D110*SUMIFS(Settings!$C$21:$C$25,Settings!$A$21:$A$25,SUMPRODUCT(MAX((Settings!$A$21:$A$25&lt;=$A110)*Settings!$A$21:$A$25))))</f>
      </c>
      <c r="M110" s="32">
        <f>IF($A110="","",L110*IFERROR(INDEX(Settings!$B$30:$B$36,MATCH($B110,Settings!$A$30:$A$36,0)),0))</f>
      </c>
      <c r="N110" s="32">
        <f t="shared" si="6"/>
      </c>
      <c r="O110" s="33">
        <f t="shared" si="7"/>
      </c>
      <c r="P110" s="32">
        <f t="shared" si="8"/>
      </c>
      <c r="Q110" s="33">
        <f t="shared" si="9"/>
      </c>
    </row>
    <row r="111" spans="1:17" x14ac:dyDescent="0.25">
      <c r="A111" s="22"/>
      <c r="B111" s="5"/>
      <c r="C111" s="5"/>
      <c r="D111" s="5"/>
      <c r="E111" s="5"/>
      <c r="F111" s="5"/>
      <c r="G111" s="5"/>
      <c r="H111" s="23"/>
      <c r="I111" s="23"/>
      <c r="J111" s="5"/>
      <c r="K111" s="31">
        <f t="shared" si="5"/>
      </c>
      <c r="L111" s="32">
        <f>IF($A111="","",C111*SUMIFS(Settings!$B$21:$B$25,Settings!$A$21:$A$25,SUMPRODUCT(MAX((Settings!$A$21:$A$25&lt;=$A111)*Settings!$A$21:$A$25)))+D111*SUMIFS(Settings!$C$21:$C$25,Settings!$A$21:$A$25,SUMPRODUCT(MAX((Settings!$A$21:$A$25&lt;=$A111)*Settings!$A$21:$A$25))))</f>
      </c>
      <c r="M111" s="32">
        <f>IF($A111="","",L111*IFERROR(INDEX(Settings!$B$30:$B$36,MATCH($B111,Settings!$A$30:$A$36,0)),0))</f>
      </c>
      <c r="N111" s="32">
        <f t="shared" si="6"/>
      </c>
      <c r="O111" s="33">
        <f t="shared" si="7"/>
      </c>
      <c r="P111" s="32">
        <f t="shared" si="8"/>
      </c>
      <c r="Q111" s="33">
        <f t="shared" si="9"/>
      </c>
    </row>
    <row r="112" spans="1:17" x14ac:dyDescent="0.25">
      <c r="A112" s="22"/>
      <c r="B112" s="5"/>
      <c r="C112" s="5"/>
      <c r="D112" s="5"/>
      <c r="E112" s="5"/>
      <c r="F112" s="5"/>
      <c r="G112" s="5"/>
      <c r="H112" s="23"/>
      <c r="I112" s="23"/>
      <c r="J112" s="5"/>
      <c r="K112" s="31">
        <f t="shared" si="5"/>
      </c>
      <c r="L112" s="32">
        <f>IF($A112="","",C112*SUMIFS(Settings!$B$21:$B$25,Settings!$A$21:$A$25,SUMPRODUCT(MAX((Settings!$A$21:$A$25&lt;=$A112)*Settings!$A$21:$A$25)))+D112*SUMIFS(Settings!$C$21:$C$25,Settings!$A$21:$A$25,SUMPRODUCT(MAX((Settings!$A$21:$A$25&lt;=$A112)*Settings!$A$21:$A$25))))</f>
      </c>
      <c r="M112" s="32">
        <f>IF($A112="","",L112*IFERROR(INDEX(Settings!$B$30:$B$36,MATCH($B112,Settings!$A$30:$A$36,0)),0))</f>
      </c>
      <c r="N112" s="32">
        <f t="shared" si="6"/>
      </c>
      <c r="O112" s="33">
        <f t="shared" si="7"/>
      </c>
      <c r="P112" s="32">
        <f t="shared" si="8"/>
      </c>
      <c r="Q112" s="33">
        <f t="shared" si="9"/>
      </c>
    </row>
    <row r="113" spans="1:17" x14ac:dyDescent="0.25">
      <c r="A113" s="22"/>
      <c r="B113" s="5"/>
      <c r="C113" s="5"/>
      <c r="D113" s="5"/>
      <c r="E113" s="5"/>
      <c r="F113" s="5"/>
      <c r="G113" s="5"/>
      <c r="H113" s="23"/>
      <c r="I113" s="23"/>
      <c r="J113" s="5"/>
      <c r="K113" s="31">
        <f t="shared" si="5"/>
      </c>
      <c r="L113" s="32">
        <f>IF($A113="","",C113*SUMIFS(Settings!$B$21:$B$25,Settings!$A$21:$A$25,SUMPRODUCT(MAX((Settings!$A$21:$A$25&lt;=$A113)*Settings!$A$21:$A$25)))+D113*SUMIFS(Settings!$C$21:$C$25,Settings!$A$21:$A$25,SUMPRODUCT(MAX((Settings!$A$21:$A$25&lt;=$A113)*Settings!$A$21:$A$25))))</f>
      </c>
      <c r="M113" s="32">
        <f>IF($A113="","",L113*IFERROR(INDEX(Settings!$B$30:$B$36,MATCH($B113,Settings!$A$30:$A$36,0)),0))</f>
      </c>
      <c r="N113" s="32">
        <f t="shared" si="6"/>
      </c>
      <c r="O113" s="33">
        <f t="shared" si="7"/>
      </c>
      <c r="P113" s="32">
        <f t="shared" si="8"/>
      </c>
      <c r="Q113" s="33">
        <f t="shared" si="9"/>
      </c>
    </row>
    <row r="114" spans="1:17" x14ac:dyDescent="0.25">
      <c r="A114" s="22"/>
      <c r="B114" s="5"/>
      <c r="C114" s="5"/>
      <c r="D114" s="5"/>
      <c r="E114" s="5"/>
      <c r="F114" s="5"/>
      <c r="G114" s="5"/>
      <c r="H114" s="23"/>
      <c r="I114" s="23"/>
      <c r="J114" s="5"/>
      <c r="K114" s="31">
        <f t="shared" si="5"/>
      </c>
      <c r="L114" s="32">
        <f>IF($A114="","",C114*SUMIFS(Settings!$B$21:$B$25,Settings!$A$21:$A$25,SUMPRODUCT(MAX((Settings!$A$21:$A$25&lt;=$A114)*Settings!$A$21:$A$25)))+D114*SUMIFS(Settings!$C$21:$C$25,Settings!$A$21:$A$25,SUMPRODUCT(MAX((Settings!$A$21:$A$25&lt;=$A114)*Settings!$A$21:$A$25))))</f>
      </c>
      <c r="M114" s="32">
        <f>IF($A114="","",L114*IFERROR(INDEX(Settings!$B$30:$B$36,MATCH($B114,Settings!$A$30:$A$36,0)),0))</f>
      </c>
      <c r="N114" s="32">
        <f t="shared" si="6"/>
      </c>
      <c r="O114" s="33">
        <f t="shared" si="7"/>
      </c>
      <c r="P114" s="32">
        <f t="shared" si="8"/>
      </c>
      <c r="Q114" s="33">
        <f t="shared" si="9"/>
      </c>
    </row>
    <row r="115" spans="1:17" x14ac:dyDescent="0.25">
      <c r="A115" s="22"/>
      <c r="B115" s="5"/>
      <c r="C115" s="5"/>
      <c r="D115" s="5"/>
      <c r="E115" s="5"/>
      <c r="F115" s="5"/>
      <c r="G115" s="5"/>
      <c r="H115" s="23"/>
      <c r="I115" s="23"/>
      <c r="J115" s="5"/>
      <c r="K115" s="31">
        <f t="shared" si="5"/>
      </c>
      <c r="L115" s="32">
        <f>IF($A115="","",C115*SUMIFS(Settings!$B$21:$B$25,Settings!$A$21:$A$25,SUMPRODUCT(MAX((Settings!$A$21:$A$25&lt;=$A115)*Settings!$A$21:$A$25)))+D115*SUMIFS(Settings!$C$21:$C$25,Settings!$A$21:$A$25,SUMPRODUCT(MAX((Settings!$A$21:$A$25&lt;=$A115)*Settings!$A$21:$A$25))))</f>
      </c>
      <c r="M115" s="32">
        <f>IF($A115="","",L115*IFERROR(INDEX(Settings!$B$30:$B$36,MATCH($B115,Settings!$A$30:$A$36,0)),0))</f>
      </c>
      <c r="N115" s="32">
        <f t="shared" si="6"/>
      </c>
      <c r="O115" s="33">
        <f t="shared" si="7"/>
      </c>
      <c r="P115" s="32">
        <f t="shared" si="8"/>
      </c>
      <c r="Q115" s="33">
        <f t="shared" si="9"/>
      </c>
    </row>
    <row r="116" spans="1:17" x14ac:dyDescent="0.25">
      <c r="A116" s="22"/>
      <c r="B116" s="5"/>
      <c r="C116" s="5"/>
      <c r="D116" s="5"/>
      <c r="E116" s="5"/>
      <c r="F116" s="5"/>
      <c r="G116" s="5"/>
      <c r="H116" s="23"/>
      <c r="I116" s="23"/>
      <c r="J116" s="5"/>
      <c r="K116" s="31">
        <f t="shared" si="5"/>
      </c>
      <c r="L116" s="32">
        <f>IF($A116="","",C116*SUMIFS(Settings!$B$21:$B$25,Settings!$A$21:$A$25,SUMPRODUCT(MAX((Settings!$A$21:$A$25&lt;=$A116)*Settings!$A$21:$A$25)))+D116*SUMIFS(Settings!$C$21:$C$25,Settings!$A$21:$A$25,SUMPRODUCT(MAX((Settings!$A$21:$A$25&lt;=$A116)*Settings!$A$21:$A$25))))</f>
      </c>
      <c r="M116" s="32">
        <f>IF($A116="","",L116*IFERROR(INDEX(Settings!$B$30:$B$36,MATCH($B116,Settings!$A$30:$A$36,0)),0))</f>
      </c>
      <c r="N116" s="32">
        <f t="shared" si="6"/>
      </c>
      <c r="O116" s="33">
        <f t="shared" si="7"/>
      </c>
      <c r="P116" s="32">
        <f t="shared" si="8"/>
      </c>
      <c r="Q116" s="33">
        <f t="shared" si="9"/>
      </c>
    </row>
    <row r="117" spans="1:17" x14ac:dyDescent="0.25">
      <c r="A117" s="22"/>
      <c r="B117" s="5"/>
      <c r="C117" s="5"/>
      <c r="D117" s="5"/>
      <c r="E117" s="5"/>
      <c r="F117" s="5"/>
      <c r="G117" s="5"/>
      <c r="H117" s="23"/>
      <c r="I117" s="23"/>
      <c r="J117" s="5"/>
      <c r="K117" s="31">
        <f t="shared" si="5"/>
      </c>
      <c r="L117" s="32">
        <f>IF($A117="","",C117*SUMIFS(Settings!$B$21:$B$25,Settings!$A$21:$A$25,SUMPRODUCT(MAX((Settings!$A$21:$A$25&lt;=$A117)*Settings!$A$21:$A$25)))+D117*SUMIFS(Settings!$C$21:$C$25,Settings!$A$21:$A$25,SUMPRODUCT(MAX((Settings!$A$21:$A$25&lt;=$A117)*Settings!$A$21:$A$25))))</f>
      </c>
      <c r="M117" s="32">
        <f>IF($A117="","",L117*IFERROR(INDEX(Settings!$B$30:$B$36,MATCH($B117,Settings!$A$30:$A$36,0)),0))</f>
      </c>
      <c r="N117" s="32">
        <f t="shared" si="6"/>
      </c>
      <c r="O117" s="33">
        <f t="shared" si="7"/>
      </c>
      <c r="P117" s="32">
        <f t="shared" si="8"/>
      </c>
      <c r="Q117" s="33">
        <f t="shared" si="9"/>
      </c>
    </row>
    <row r="118" spans="1:17" x14ac:dyDescent="0.25">
      <c r="A118" s="22"/>
      <c r="B118" s="5"/>
      <c r="C118" s="5"/>
      <c r="D118" s="5"/>
      <c r="E118" s="5"/>
      <c r="F118" s="5"/>
      <c r="G118" s="5"/>
      <c r="H118" s="23"/>
      <c r="I118" s="23"/>
      <c r="J118" s="5"/>
      <c r="K118" s="31">
        <f t="shared" si="5"/>
      </c>
      <c r="L118" s="32">
        <f>IF($A118="","",C118*SUMIFS(Settings!$B$21:$B$25,Settings!$A$21:$A$25,SUMPRODUCT(MAX((Settings!$A$21:$A$25&lt;=$A118)*Settings!$A$21:$A$25)))+D118*SUMIFS(Settings!$C$21:$C$25,Settings!$A$21:$A$25,SUMPRODUCT(MAX((Settings!$A$21:$A$25&lt;=$A118)*Settings!$A$21:$A$25))))</f>
      </c>
      <c r="M118" s="32">
        <f>IF($A118="","",L118*IFERROR(INDEX(Settings!$B$30:$B$36,MATCH($B118,Settings!$A$30:$A$36,0)),0))</f>
      </c>
      <c r="N118" s="32">
        <f t="shared" si="6"/>
      </c>
      <c r="O118" s="33">
        <f t="shared" si="7"/>
      </c>
      <c r="P118" s="32">
        <f t="shared" si="8"/>
      </c>
      <c r="Q118" s="33">
        <f t="shared" si="9"/>
      </c>
    </row>
    <row r="119" spans="1:17" x14ac:dyDescent="0.25">
      <c r="A119" s="22"/>
      <c r="B119" s="5"/>
      <c r="C119" s="5"/>
      <c r="D119" s="5"/>
      <c r="E119" s="5"/>
      <c r="F119" s="5"/>
      <c r="G119" s="5"/>
      <c r="H119" s="23"/>
      <c r="I119" s="23"/>
      <c r="J119" s="5"/>
      <c r="K119" s="31">
        <f t="shared" si="5"/>
      </c>
      <c r="L119" s="32">
        <f>IF($A119="","",C119*SUMIFS(Settings!$B$21:$B$25,Settings!$A$21:$A$25,SUMPRODUCT(MAX((Settings!$A$21:$A$25&lt;=$A119)*Settings!$A$21:$A$25)))+D119*SUMIFS(Settings!$C$21:$C$25,Settings!$A$21:$A$25,SUMPRODUCT(MAX((Settings!$A$21:$A$25&lt;=$A119)*Settings!$A$21:$A$25))))</f>
      </c>
      <c r="M119" s="32">
        <f>IF($A119="","",L119*IFERROR(INDEX(Settings!$B$30:$B$36,MATCH($B119,Settings!$A$30:$A$36,0)),0))</f>
      </c>
      <c r="N119" s="32">
        <f t="shared" si="6"/>
      </c>
      <c r="O119" s="33">
        <f t="shared" si="7"/>
      </c>
      <c r="P119" s="32">
        <f t="shared" si="8"/>
      </c>
      <c r="Q119" s="33">
        <f t="shared" si="9"/>
      </c>
    </row>
    <row r="120" spans="1:17" x14ac:dyDescent="0.25">
      <c r="A120" s="22"/>
      <c r="B120" s="5"/>
      <c r="C120" s="5"/>
      <c r="D120" s="5"/>
      <c r="E120" s="5"/>
      <c r="F120" s="5"/>
      <c r="G120" s="5"/>
      <c r="H120" s="23"/>
      <c r="I120" s="23"/>
      <c r="J120" s="5"/>
      <c r="K120" s="31">
        <f t="shared" si="5"/>
      </c>
      <c r="L120" s="32">
        <f>IF($A120="","",C120*SUMIFS(Settings!$B$21:$B$25,Settings!$A$21:$A$25,SUMPRODUCT(MAX((Settings!$A$21:$A$25&lt;=$A120)*Settings!$A$21:$A$25)))+D120*SUMIFS(Settings!$C$21:$C$25,Settings!$A$21:$A$25,SUMPRODUCT(MAX((Settings!$A$21:$A$25&lt;=$A120)*Settings!$A$21:$A$25))))</f>
      </c>
      <c r="M120" s="32">
        <f>IF($A120="","",L120*IFERROR(INDEX(Settings!$B$30:$B$36,MATCH($B120,Settings!$A$30:$A$36,0)),0))</f>
      </c>
      <c r="N120" s="32">
        <f t="shared" si="6"/>
      </c>
      <c r="O120" s="33">
        <f t="shared" si="7"/>
      </c>
      <c r="P120" s="32">
        <f t="shared" si="8"/>
      </c>
      <c r="Q120" s="33">
        <f t="shared" si="9"/>
      </c>
    </row>
    <row r="121" spans="1:17" x14ac:dyDescent="0.25">
      <c r="A121" s="22"/>
      <c r="B121" s="5"/>
      <c r="C121" s="5"/>
      <c r="D121" s="5"/>
      <c r="E121" s="5"/>
      <c r="F121" s="5"/>
      <c r="G121" s="5"/>
      <c r="H121" s="23"/>
      <c r="I121" s="23"/>
      <c r="J121" s="5"/>
      <c r="K121" s="31">
        <f t="shared" si="5"/>
      </c>
      <c r="L121" s="32">
        <f>IF($A121="","",C121*SUMIFS(Settings!$B$21:$B$25,Settings!$A$21:$A$25,SUMPRODUCT(MAX((Settings!$A$21:$A$25&lt;=$A121)*Settings!$A$21:$A$25)))+D121*SUMIFS(Settings!$C$21:$C$25,Settings!$A$21:$A$25,SUMPRODUCT(MAX((Settings!$A$21:$A$25&lt;=$A121)*Settings!$A$21:$A$25))))</f>
      </c>
      <c r="M121" s="32">
        <f>IF($A121="","",L121*IFERROR(INDEX(Settings!$B$30:$B$36,MATCH($B121,Settings!$A$30:$A$36,0)),0))</f>
      </c>
      <c r="N121" s="32">
        <f t="shared" si="6"/>
      </c>
      <c r="O121" s="33">
        <f t="shared" si="7"/>
      </c>
      <c r="P121" s="32">
        <f t="shared" si="8"/>
      </c>
      <c r="Q121" s="33">
        <f t="shared" si="9"/>
      </c>
    </row>
    <row r="122" spans="1:17" x14ac:dyDescent="0.25">
      <c r="A122" s="22"/>
      <c r="B122" s="5"/>
      <c r="C122" s="5"/>
      <c r="D122" s="5"/>
      <c r="E122" s="5"/>
      <c r="F122" s="5"/>
      <c r="G122" s="5"/>
      <c r="H122" s="23"/>
      <c r="I122" s="23"/>
      <c r="J122" s="5"/>
      <c r="K122" s="31">
        <f t="shared" si="5"/>
      </c>
      <c r="L122" s="32">
        <f>IF($A122="","",C122*SUMIFS(Settings!$B$21:$B$25,Settings!$A$21:$A$25,SUMPRODUCT(MAX((Settings!$A$21:$A$25&lt;=$A122)*Settings!$A$21:$A$25)))+D122*SUMIFS(Settings!$C$21:$C$25,Settings!$A$21:$A$25,SUMPRODUCT(MAX((Settings!$A$21:$A$25&lt;=$A122)*Settings!$A$21:$A$25))))</f>
      </c>
      <c r="M122" s="32">
        <f>IF($A122="","",L122*IFERROR(INDEX(Settings!$B$30:$B$36,MATCH($B122,Settings!$A$30:$A$36,0)),0))</f>
      </c>
      <c r="N122" s="32">
        <f t="shared" si="6"/>
      </c>
      <c r="O122" s="33">
        <f t="shared" si="7"/>
      </c>
      <c r="P122" s="32">
        <f t="shared" si="8"/>
      </c>
      <c r="Q122" s="33">
        <f t="shared" si="9"/>
      </c>
    </row>
    <row r="123" spans="1:17" x14ac:dyDescent="0.25">
      <c r="A123" s="22"/>
      <c r="B123" s="5"/>
      <c r="C123" s="5"/>
      <c r="D123" s="5"/>
      <c r="E123" s="5"/>
      <c r="F123" s="5"/>
      <c r="G123" s="5"/>
      <c r="H123" s="23"/>
      <c r="I123" s="23"/>
      <c r="J123" s="5"/>
      <c r="K123" s="31">
        <f t="shared" si="5"/>
      </c>
      <c r="L123" s="32">
        <f>IF($A123="","",C123*SUMIFS(Settings!$B$21:$B$25,Settings!$A$21:$A$25,SUMPRODUCT(MAX((Settings!$A$21:$A$25&lt;=$A123)*Settings!$A$21:$A$25)))+D123*SUMIFS(Settings!$C$21:$C$25,Settings!$A$21:$A$25,SUMPRODUCT(MAX((Settings!$A$21:$A$25&lt;=$A123)*Settings!$A$21:$A$25))))</f>
      </c>
      <c r="M123" s="32">
        <f>IF($A123="","",L123*IFERROR(INDEX(Settings!$B$30:$B$36,MATCH($B123,Settings!$A$30:$A$36,0)),0))</f>
      </c>
      <c r="N123" s="32">
        <f t="shared" si="6"/>
      </c>
      <c r="O123" s="33">
        <f t="shared" si="7"/>
      </c>
      <c r="P123" s="32">
        <f t="shared" si="8"/>
      </c>
      <c r="Q123" s="33">
        <f t="shared" si="9"/>
      </c>
    </row>
    <row r="124" spans="1:17" x14ac:dyDescent="0.25">
      <c r="A124" s="22"/>
      <c r="B124" s="5"/>
      <c r="C124" s="5"/>
      <c r="D124" s="5"/>
      <c r="E124" s="5"/>
      <c r="F124" s="5"/>
      <c r="G124" s="5"/>
      <c r="H124" s="23"/>
      <c r="I124" s="23"/>
      <c r="J124" s="5"/>
      <c r="K124" s="31">
        <f t="shared" si="5"/>
      </c>
      <c r="L124" s="32">
        <f>IF($A124="","",C124*SUMIFS(Settings!$B$21:$B$25,Settings!$A$21:$A$25,SUMPRODUCT(MAX((Settings!$A$21:$A$25&lt;=$A124)*Settings!$A$21:$A$25)))+D124*SUMIFS(Settings!$C$21:$C$25,Settings!$A$21:$A$25,SUMPRODUCT(MAX((Settings!$A$21:$A$25&lt;=$A124)*Settings!$A$21:$A$25))))</f>
      </c>
      <c r="M124" s="32">
        <f>IF($A124="","",L124*IFERROR(INDEX(Settings!$B$30:$B$36,MATCH($B124,Settings!$A$30:$A$36,0)),0))</f>
      </c>
      <c r="N124" s="32">
        <f t="shared" si="6"/>
      </c>
      <c r="O124" s="33">
        <f t="shared" si="7"/>
      </c>
      <c r="P124" s="32">
        <f t="shared" si="8"/>
      </c>
      <c r="Q124" s="33">
        <f t="shared" si="9"/>
      </c>
    </row>
    <row r="125" spans="1:17" x14ac:dyDescent="0.25">
      <c r="A125" s="22"/>
      <c r="B125" s="5"/>
      <c r="C125" s="5"/>
      <c r="D125" s="5"/>
      <c r="E125" s="5"/>
      <c r="F125" s="5"/>
      <c r="G125" s="5"/>
      <c r="H125" s="23"/>
      <c r="I125" s="23"/>
      <c r="J125" s="5"/>
      <c r="K125" s="31">
        <f t="shared" si="5"/>
      </c>
      <c r="L125" s="32">
        <f>IF($A125="","",C125*SUMIFS(Settings!$B$21:$B$25,Settings!$A$21:$A$25,SUMPRODUCT(MAX((Settings!$A$21:$A$25&lt;=$A125)*Settings!$A$21:$A$25)))+D125*SUMIFS(Settings!$C$21:$C$25,Settings!$A$21:$A$25,SUMPRODUCT(MAX((Settings!$A$21:$A$25&lt;=$A125)*Settings!$A$21:$A$25))))</f>
      </c>
      <c r="M125" s="32">
        <f>IF($A125="","",L125*IFERROR(INDEX(Settings!$B$30:$B$36,MATCH($B125,Settings!$A$30:$A$36,0)),0))</f>
      </c>
      <c r="N125" s="32">
        <f t="shared" si="6"/>
      </c>
      <c r="O125" s="33">
        <f t="shared" si="7"/>
      </c>
      <c r="P125" s="32">
        <f t="shared" si="8"/>
      </c>
      <c r="Q125" s="33">
        <f t="shared" si="9"/>
      </c>
    </row>
    <row r="126" spans="1:17" x14ac:dyDescent="0.25">
      <c r="A126" s="22"/>
      <c r="B126" s="5"/>
      <c r="C126" s="5"/>
      <c r="D126" s="5"/>
      <c r="E126" s="5"/>
      <c r="F126" s="5"/>
      <c r="G126" s="5"/>
      <c r="H126" s="23"/>
      <c r="I126" s="23"/>
      <c r="J126" s="5"/>
      <c r="K126" s="31">
        <f t="shared" si="5"/>
      </c>
      <c r="L126" s="32">
        <f>IF($A126="","",C126*SUMIFS(Settings!$B$21:$B$25,Settings!$A$21:$A$25,SUMPRODUCT(MAX((Settings!$A$21:$A$25&lt;=$A126)*Settings!$A$21:$A$25)))+D126*SUMIFS(Settings!$C$21:$C$25,Settings!$A$21:$A$25,SUMPRODUCT(MAX((Settings!$A$21:$A$25&lt;=$A126)*Settings!$A$21:$A$25))))</f>
      </c>
      <c r="M126" s="32">
        <f>IF($A126="","",L126*IFERROR(INDEX(Settings!$B$30:$B$36,MATCH($B126,Settings!$A$30:$A$36,0)),0))</f>
      </c>
      <c r="N126" s="32">
        <f t="shared" si="6"/>
      </c>
      <c r="O126" s="33">
        <f t="shared" si="7"/>
      </c>
      <c r="P126" s="32">
        <f t="shared" si="8"/>
      </c>
      <c r="Q126" s="33">
        <f t="shared" si="9"/>
      </c>
    </row>
    <row r="127" spans="1:17" x14ac:dyDescent="0.25">
      <c r="A127" s="22"/>
      <c r="B127" s="5"/>
      <c r="C127" s="5"/>
      <c r="D127" s="5"/>
      <c r="E127" s="5"/>
      <c r="F127" s="5"/>
      <c r="G127" s="5"/>
      <c r="H127" s="23"/>
      <c r="I127" s="23"/>
      <c r="J127" s="5"/>
      <c r="K127" s="31">
        <f t="shared" si="5"/>
      </c>
      <c r="L127" s="32">
        <f>IF($A127="","",C127*SUMIFS(Settings!$B$21:$B$25,Settings!$A$21:$A$25,SUMPRODUCT(MAX((Settings!$A$21:$A$25&lt;=$A127)*Settings!$A$21:$A$25)))+D127*SUMIFS(Settings!$C$21:$C$25,Settings!$A$21:$A$25,SUMPRODUCT(MAX((Settings!$A$21:$A$25&lt;=$A127)*Settings!$A$21:$A$25))))</f>
      </c>
      <c r="M127" s="32">
        <f>IF($A127="","",L127*IFERROR(INDEX(Settings!$B$30:$B$36,MATCH($B127,Settings!$A$30:$A$36,0)),0))</f>
      </c>
      <c r="N127" s="32">
        <f t="shared" si="6"/>
      </c>
      <c r="O127" s="33">
        <f t="shared" si="7"/>
      </c>
      <c r="P127" s="32">
        <f t="shared" si="8"/>
      </c>
      <c r="Q127" s="33">
        <f t="shared" si="9"/>
      </c>
    </row>
    <row r="128" spans="1:17" x14ac:dyDescent="0.25">
      <c r="A128" s="22"/>
      <c r="B128" s="5"/>
      <c r="C128" s="5"/>
      <c r="D128" s="5"/>
      <c r="E128" s="5"/>
      <c r="F128" s="5"/>
      <c r="G128" s="5"/>
      <c r="H128" s="23"/>
      <c r="I128" s="23"/>
      <c r="J128" s="5"/>
      <c r="K128" s="31">
        <f t="shared" si="5"/>
      </c>
      <c r="L128" s="32">
        <f>IF($A128="","",C128*SUMIFS(Settings!$B$21:$B$25,Settings!$A$21:$A$25,SUMPRODUCT(MAX((Settings!$A$21:$A$25&lt;=$A128)*Settings!$A$21:$A$25)))+D128*SUMIFS(Settings!$C$21:$C$25,Settings!$A$21:$A$25,SUMPRODUCT(MAX((Settings!$A$21:$A$25&lt;=$A128)*Settings!$A$21:$A$25))))</f>
      </c>
      <c r="M128" s="32">
        <f>IF($A128="","",L128*IFERROR(INDEX(Settings!$B$30:$B$36,MATCH($B128,Settings!$A$30:$A$36,0)),0))</f>
      </c>
      <c r="N128" s="32">
        <f t="shared" si="6"/>
      </c>
      <c r="O128" s="33">
        <f t="shared" si="7"/>
      </c>
      <c r="P128" s="32">
        <f t="shared" si="8"/>
      </c>
      <c r="Q128" s="33">
        <f t="shared" si="9"/>
      </c>
    </row>
    <row r="129" spans="1:17" x14ac:dyDescent="0.25">
      <c r="A129" s="22"/>
      <c r="B129" s="5"/>
      <c r="C129" s="5"/>
      <c r="D129" s="5"/>
      <c r="E129" s="5"/>
      <c r="F129" s="5"/>
      <c r="G129" s="5"/>
      <c r="H129" s="23"/>
      <c r="I129" s="23"/>
      <c r="J129" s="5"/>
      <c r="K129" s="31">
        <f t="shared" si="5"/>
      </c>
      <c r="L129" s="32">
        <f>IF($A129="","",C129*SUMIFS(Settings!$B$21:$B$25,Settings!$A$21:$A$25,SUMPRODUCT(MAX((Settings!$A$21:$A$25&lt;=$A129)*Settings!$A$21:$A$25)))+D129*SUMIFS(Settings!$C$21:$C$25,Settings!$A$21:$A$25,SUMPRODUCT(MAX((Settings!$A$21:$A$25&lt;=$A129)*Settings!$A$21:$A$25))))</f>
      </c>
      <c r="M129" s="32">
        <f>IF($A129="","",L129*IFERROR(INDEX(Settings!$B$30:$B$36,MATCH($B129,Settings!$A$30:$A$36,0)),0))</f>
      </c>
      <c r="N129" s="32">
        <f t="shared" si="6"/>
      </c>
      <c r="O129" s="33">
        <f t="shared" si="7"/>
      </c>
      <c r="P129" s="32">
        <f t="shared" si="8"/>
      </c>
      <c r="Q129" s="33">
        <f t="shared" si="9"/>
      </c>
    </row>
    <row r="130" spans="1:17" x14ac:dyDescent="0.25">
      <c r="A130" s="22"/>
      <c r="B130" s="5"/>
      <c r="C130" s="5"/>
      <c r="D130" s="5"/>
      <c r="E130" s="5"/>
      <c r="F130" s="5"/>
      <c r="G130" s="5"/>
      <c r="H130" s="23"/>
      <c r="I130" s="23"/>
      <c r="J130" s="5"/>
      <c r="K130" s="31">
        <f t="shared" si="5"/>
      </c>
      <c r="L130" s="32">
        <f>IF($A130="","",C130*SUMIFS(Settings!$B$21:$B$25,Settings!$A$21:$A$25,SUMPRODUCT(MAX((Settings!$A$21:$A$25&lt;=$A130)*Settings!$A$21:$A$25)))+D130*SUMIFS(Settings!$C$21:$C$25,Settings!$A$21:$A$25,SUMPRODUCT(MAX((Settings!$A$21:$A$25&lt;=$A130)*Settings!$A$21:$A$25))))</f>
      </c>
      <c r="M130" s="32">
        <f>IF($A130="","",L130*IFERROR(INDEX(Settings!$B$30:$B$36,MATCH($B130,Settings!$A$30:$A$36,0)),0))</f>
      </c>
      <c r="N130" s="32">
        <f t="shared" si="6"/>
      </c>
      <c r="O130" s="33">
        <f t="shared" si="7"/>
      </c>
      <c r="P130" s="32">
        <f t="shared" si="8"/>
      </c>
      <c r="Q130" s="33">
        <f t="shared" si="9"/>
      </c>
    </row>
    <row r="131" spans="1:17" x14ac:dyDescent="0.25">
      <c r="A131" s="22"/>
      <c r="B131" s="5"/>
      <c r="C131" s="5"/>
      <c r="D131" s="5"/>
      <c r="E131" s="5"/>
      <c r="F131" s="5"/>
      <c r="G131" s="5"/>
      <c r="H131" s="23"/>
      <c r="I131" s="23"/>
      <c r="J131" s="5"/>
      <c r="K131" s="31">
        <f t="shared" si="5"/>
      </c>
      <c r="L131" s="32">
        <f>IF($A131="","",C131*SUMIFS(Settings!$B$21:$B$25,Settings!$A$21:$A$25,SUMPRODUCT(MAX((Settings!$A$21:$A$25&lt;=$A131)*Settings!$A$21:$A$25)))+D131*SUMIFS(Settings!$C$21:$C$25,Settings!$A$21:$A$25,SUMPRODUCT(MAX((Settings!$A$21:$A$25&lt;=$A131)*Settings!$A$21:$A$25))))</f>
      </c>
      <c r="M131" s="32">
        <f>IF($A131="","",L131*IFERROR(INDEX(Settings!$B$30:$B$36,MATCH($B131,Settings!$A$30:$A$36,0)),0))</f>
      </c>
      <c r="N131" s="32">
        <f t="shared" si="6"/>
      </c>
      <c r="O131" s="33">
        <f t="shared" si="7"/>
      </c>
      <c r="P131" s="32">
        <f t="shared" si="8"/>
      </c>
      <c r="Q131" s="33">
        <f t="shared" si="9"/>
      </c>
    </row>
    <row r="132" spans="1:17" x14ac:dyDescent="0.25">
      <c r="A132" s="22"/>
      <c r="B132" s="5"/>
      <c r="C132" s="5"/>
      <c r="D132" s="5"/>
      <c r="E132" s="5"/>
      <c r="F132" s="5"/>
      <c r="G132" s="5"/>
      <c r="H132" s="23"/>
      <c r="I132" s="23"/>
      <c r="J132" s="5"/>
      <c r="K132" s="31">
        <f t="shared" si="5"/>
      </c>
      <c r="L132" s="32">
        <f>IF($A132="","",C132*SUMIFS(Settings!$B$21:$B$25,Settings!$A$21:$A$25,SUMPRODUCT(MAX((Settings!$A$21:$A$25&lt;=$A132)*Settings!$A$21:$A$25)))+D132*SUMIFS(Settings!$C$21:$C$25,Settings!$A$21:$A$25,SUMPRODUCT(MAX((Settings!$A$21:$A$25&lt;=$A132)*Settings!$A$21:$A$25))))</f>
      </c>
      <c r="M132" s="32">
        <f>IF($A132="","",L132*IFERROR(INDEX(Settings!$B$30:$B$36,MATCH($B132,Settings!$A$30:$A$36,0)),0))</f>
      </c>
      <c r="N132" s="32">
        <f t="shared" si="6"/>
      </c>
      <c r="O132" s="33">
        <f t="shared" si="7"/>
      </c>
      <c r="P132" s="32">
        <f t="shared" si="8"/>
      </c>
      <c r="Q132" s="33">
        <f t="shared" si="9"/>
      </c>
    </row>
    <row r="133" spans="1:17" x14ac:dyDescent="0.25">
      <c r="A133" s="22"/>
      <c r="B133" s="5"/>
      <c r="C133" s="5"/>
      <c r="D133" s="5"/>
      <c r="E133" s="5"/>
      <c r="F133" s="5"/>
      <c r="G133" s="5"/>
      <c r="H133" s="23"/>
      <c r="I133" s="23"/>
      <c r="J133" s="5"/>
      <c r="K133" s="31">
        <f t="shared" si="5"/>
      </c>
      <c r="L133" s="32">
        <f>IF($A133="","",C133*SUMIFS(Settings!$B$21:$B$25,Settings!$A$21:$A$25,SUMPRODUCT(MAX((Settings!$A$21:$A$25&lt;=$A133)*Settings!$A$21:$A$25)))+D133*SUMIFS(Settings!$C$21:$C$25,Settings!$A$21:$A$25,SUMPRODUCT(MAX((Settings!$A$21:$A$25&lt;=$A133)*Settings!$A$21:$A$25))))</f>
      </c>
      <c r="M133" s="32">
        <f>IF($A133="","",L133*IFERROR(INDEX(Settings!$B$30:$B$36,MATCH($B133,Settings!$A$30:$A$36,0)),0))</f>
      </c>
      <c r="N133" s="32">
        <f t="shared" si="6"/>
      </c>
      <c r="O133" s="33">
        <f t="shared" si="7"/>
      </c>
      <c r="P133" s="32">
        <f t="shared" si="8"/>
      </c>
      <c r="Q133" s="33">
        <f t="shared" si="9"/>
      </c>
    </row>
    <row r="134" spans="1:17" x14ac:dyDescent="0.25">
      <c r="A134" s="22"/>
      <c r="B134" s="5"/>
      <c r="C134" s="5"/>
      <c r="D134" s="5"/>
      <c r="E134" s="5"/>
      <c r="F134" s="5"/>
      <c r="G134" s="5"/>
      <c r="H134" s="23"/>
      <c r="I134" s="23"/>
      <c r="J134" s="5"/>
      <c r="K134" s="31">
        <f t="shared" ref="K134:K197" si="10">IF($A134="","",C134+D134)</f>
      </c>
      <c r="L134" s="32">
        <f>IF($A134="","",C134*SUMIFS(Settings!$B$21:$B$25,Settings!$A$21:$A$25,SUMPRODUCT(MAX((Settings!$A$21:$A$25&lt;=$A134)*Settings!$A$21:$A$25)))+D134*SUMIFS(Settings!$C$21:$C$25,Settings!$A$21:$A$25,SUMPRODUCT(MAX((Settings!$A$21:$A$25&lt;=$A134)*Settings!$A$21:$A$25))))</f>
      </c>
      <c r="M134" s="32">
        <f>IF($A134="","",L134*IFERROR(INDEX(Settings!$B$30:$B$36,MATCH($B134,Settings!$A$30:$A$36,0)),0))</f>
      </c>
      <c r="N134" s="32">
        <f t="shared" ref="N134:N197" si="11">IF(OR($A134="",F134="",G134=""),"",(F134-G134)-(K134+E134))</f>
      </c>
      <c r="O134" s="33">
        <f t="shared" ref="O134:O197" si="12">IF(N134="","",IF(N134=0,"OK","CHECK"))</f>
      </c>
      <c r="P134" s="32">
        <f t="shared" ref="P134:P197" si="13">IF(OR($A134="",AND(H134="",I134="")),"",H134+I134-L134)</f>
      </c>
      <c r="Q134" s="33">
        <f t="shared" ref="Q134:Q197" si="14">IF(P134="","",IF(P134=0,"OK","CHECK"))</f>
      </c>
    </row>
    <row r="135" spans="1:17" x14ac:dyDescent="0.25">
      <c r="A135" s="22"/>
      <c r="B135" s="5"/>
      <c r="C135" s="5"/>
      <c r="D135" s="5"/>
      <c r="E135" s="5"/>
      <c r="F135" s="5"/>
      <c r="G135" s="5"/>
      <c r="H135" s="23"/>
      <c r="I135" s="23"/>
      <c r="J135" s="5"/>
      <c r="K135" s="31">
        <f t="shared" si="10"/>
      </c>
      <c r="L135" s="32">
        <f>IF($A135="","",C135*SUMIFS(Settings!$B$21:$B$25,Settings!$A$21:$A$25,SUMPRODUCT(MAX((Settings!$A$21:$A$25&lt;=$A135)*Settings!$A$21:$A$25)))+D135*SUMIFS(Settings!$C$21:$C$25,Settings!$A$21:$A$25,SUMPRODUCT(MAX((Settings!$A$21:$A$25&lt;=$A135)*Settings!$A$21:$A$25))))</f>
      </c>
      <c r="M135" s="32">
        <f>IF($A135="","",L135*IFERROR(INDEX(Settings!$B$30:$B$36,MATCH($B135,Settings!$A$30:$A$36,0)),0))</f>
      </c>
      <c r="N135" s="32">
        <f t="shared" si="11"/>
      </c>
      <c r="O135" s="33">
        <f t="shared" si="12"/>
      </c>
      <c r="P135" s="32">
        <f t="shared" si="13"/>
      </c>
      <c r="Q135" s="33">
        <f t="shared" si="14"/>
      </c>
    </row>
    <row r="136" spans="1:17" x14ac:dyDescent="0.25">
      <c r="A136" s="22"/>
      <c r="B136" s="5"/>
      <c r="C136" s="5"/>
      <c r="D136" s="5"/>
      <c r="E136" s="5"/>
      <c r="F136" s="5"/>
      <c r="G136" s="5"/>
      <c r="H136" s="23"/>
      <c r="I136" s="23"/>
      <c r="J136" s="5"/>
      <c r="K136" s="31">
        <f t="shared" si="10"/>
      </c>
      <c r="L136" s="32">
        <f>IF($A136="","",C136*SUMIFS(Settings!$B$21:$B$25,Settings!$A$21:$A$25,SUMPRODUCT(MAX((Settings!$A$21:$A$25&lt;=$A136)*Settings!$A$21:$A$25)))+D136*SUMIFS(Settings!$C$21:$C$25,Settings!$A$21:$A$25,SUMPRODUCT(MAX((Settings!$A$21:$A$25&lt;=$A136)*Settings!$A$21:$A$25))))</f>
      </c>
      <c r="M136" s="32">
        <f>IF($A136="","",L136*IFERROR(INDEX(Settings!$B$30:$B$36,MATCH($B136,Settings!$A$30:$A$36,0)),0))</f>
      </c>
      <c r="N136" s="32">
        <f t="shared" si="11"/>
      </c>
      <c r="O136" s="33">
        <f t="shared" si="12"/>
      </c>
      <c r="P136" s="32">
        <f t="shared" si="13"/>
      </c>
      <c r="Q136" s="33">
        <f t="shared" si="14"/>
      </c>
    </row>
    <row r="137" spans="1:17" x14ac:dyDescent="0.25">
      <c r="A137" s="22"/>
      <c r="B137" s="5"/>
      <c r="C137" s="5"/>
      <c r="D137" s="5"/>
      <c r="E137" s="5"/>
      <c r="F137" s="5"/>
      <c r="G137" s="5"/>
      <c r="H137" s="23"/>
      <c r="I137" s="23"/>
      <c r="J137" s="5"/>
      <c r="K137" s="31">
        <f t="shared" si="10"/>
      </c>
      <c r="L137" s="32">
        <f>IF($A137="","",C137*SUMIFS(Settings!$B$21:$B$25,Settings!$A$21:$A$25,SUMPRODUCT(MAX((Settings!$A$21:$A$25&lt;=$A137)*Settings!$A$21:$A$25)))+D137*SUMIFS(Settings!$C$21:$C$25,Settings!$A$21:$A$25,SUMPRODUCT(MAX((Settings!$A$21:$A$25&lt;=$A137)*Settings!$A$21:$A$25))))</f>
      </c>
      <c r="M137" s="32">
        <f>IF($A137="","",L137*IFERROR(INDEX(Settings!$B$30:$B$36,MATCH($B137,Settings!$A$30:$A$36,0)),0))</f>
      </c>
      <c r="N137" s="32">
        <f t="shared" si="11"/>
      </c>
      <c r="O137" s="33">
        <f t="shared" si="12"/>
      </c>
      <c r="P137" s="32">
        <f t="shared" si="13"/>
      </c>
      <c r="Q137" s="33">
        <f t="shared" si="14"/>
      </c>
    </row>
    <row r="138" spans="1:17" x14ac:dyDescent="0.25">
      <c r="A138" s="22"/>
      <c r="B138" s="5"/>
      <c r="C138" s="5"/>
      <c r="D138" s="5"/>
      <c r="E138" s="5"/>
      <c r="F138" s="5"/>
      <c r="G138" s="5"/>
      <c r="H138" s="23"/>
      <c r="I138" s="23"/>
      <c r="J138" s="5"/>
      <c r="K138" s="31">
        <f t="shared" si="10"/>
      </c>
      <c r="L138" s="32">
        <f>IF($A138="","",C138*SUMIFS(Settings!$B$21:$B$25,Settings!$A$21:$A$25,SUMPRODUCT(MAX((Settings!$A$21:$A$25&lt;=$A138)*Settings!$A$21:$A$25)))+D138*SUMIFS(Settings!$C$21:$C$25,Settings!$A$21:$A$25,SUMPRODUCT(MAX((Settings!$A$21:$A$25&lt;=$A138)*Settings!$A$21:$A$25))))</f>
      </c>
      <c r="M138" s="32">
        <f>IF($A138="","",L138*IFERROR(INDEX(Settings!$B$30:$B$36,MATCH($B138,Settings!$A$30:$A$36,0)),0))</f>
      </c>
      <c r="N138" s="32">
        <f t="shared" si="11"/>
      </c>
      <c r="O138" s="33">
        <f t="shared" si="12"/>
      </c>
      <c r="P138" s="32">
        <f t="shared" si="13"/>
      </c>
      <c r="Q138" s="33">
        <f t="shared" si="14"/>
      </c>
    </row>
    <row r="139" spans="1:17" x14ac:dyDescent="0.25">
      <c r="A139" s="22"/>
      <c r="B139" s="5"/>
      <c r="C139" s="5"/>
      <c r="D139" s="5"/>
      <c r="E139" s="5"/>
      <c r="F139" s="5"/>
      <c r="G139" s="5"/>
      <c r="H139" s="23"/>
      <c r="I139" s="23"/>
      <c r="J139" s="5"/>
      <c r="K139" s="31">
        <f t="shared" si="10"/>
      </c>
      <c r="L139" s="32">
        <f>IF($A139="","",C139*SUMIFS(Settings!$B$21:$B$25,Settings!$A$21:$A$25,SUMPRODUCT(MAX((Settings!$A$21:$A$25&lt;=$A139)*Settings!$A$21:$A$25)))+D139*SUMIFS(Settings!$C$21:$C$25,Settings!$A$21:$A$25,SUMPRODUCT(MAX((Settings!$A$21:$A$25&lt;=$A139)*Settings!$A$21:$A$25))))</f>
      </c>
      <c r="M139" s="32">
        <f>IF($A139="","",L139*IFERROR(INDEX(Settings!$B$30:$B$36,MATCH($B139,Settings!$A$30:$A$36,0)),0))</f>
      </c>
      <c r="N139" s="32">
        <f t="shared" si="11"/>
      </c>
      <c r="O139" s="33">
        <f t="shared" si="12"/>
      </c>
      <c r="P139" s="32">
        <f t="shared" si="13"/>
      </c>
      <c r="Q139" s="33">
        <f t="shared" si="14"/>
      </c>
    </row>
    <row r="140" spans="1:17" x14ac:dyDescent="0.25">
      <c r="A140" s="22"/>
      <c r="B140" s="5"/>
      <c r="C140" s="5"/>
      <c r="D140" s="5"/>
      <c r="E140" s="5"/>
      <c r="F140" s="5"/>
      <c r="G140" s="5"/>
      <c r="H140" s="23"/>
      <c r="I140" s="23"/>
      <c r="J140" s="5"/>
      <c r="K140" s="31">
        <f t="shared" si="10"/>
      </c>
      <c r="L140" s="32">
        <f>IF($A140="","",C140*SUMIFS(Settings!$B$21:$B$25,Settings!$A$21:$A$25,SUMPRODUCT(MAX((Settings!$A$21:$A$25&lt;=$A140)*Settings!$A$21:$A$25)))+D140*SUMIFS(Settings!$C$21:$C$25,Settings!$A$21:$A$25,SUMPRODUCT(MAX((Settings!$A$21:$A$25&lt;=$A140)*Settings!$A$21:$A$25))))</f>
      </c>
      <c r="M140" s="32">
        <f>IF($A140="","",L140*IFERROR(INDEX(Settings!$B$30:$B$36,MATCH($B140,Settings!$A$30:$A$36,0)),0))</f>
      </c>
      <c r="N140" s="32">
        <f t="shared" si="11"/>
      </c>
      <c r="O140" s="33">
        <f t="shared" si="12"/>
      </c>
      <c r="P140" s="32">
        <f t="shared" si="13"/>
      </c>
      <c r="Q140" s="33">
        <f t="shared" si="14"/>
      </c>
    </row>
    <row r="141" spans="1:17" x14ac:dyDescent="0.25">
      <c r="A141" s="22"/>
      <c r="B141" s="5"/>
      <c r="C141" s="5"/>
      <c r="D141" s="5"/>
      <c r="E141" s="5"/>
      <c r="F141" s="5"/>
      <c r="G141" s="5"/>
      <c r="H141" s="23"/>
      <c r="I141" s="23"/>
      <c r="J141" s="5"/>
      <c r="K141" s="31">
        <f t="shared" si="10"/>
      </c>
      <c r="L141" s="32">
        <f>IF($A141="","",C141*SUMIFS(Settings!$B$21:$B$25,Settings!$A$21:$A$25,SUMPRODUCT(MAX((Settings!$A$21:$A$25&lt;=$A141)*Settings!$A$21:$A$25)))+D141*SUMIFS(Settings!$C$21:$C$25,Settings!$A$21:$A$25,SUMPRODUCT(MAX((Settings!$A$21:$A$25&lt;=$A141)*Settings!$A$21:$A$25))))</f>
      </c>
      <c r="M141" s="32">
        <f>IF($A141="","",L141*IFERROR(INDEX(Settings!$B$30:$B$36,MATCH($B141,Settings!$A$30:$A$36,0)),0))</f>
      </c>
      <c r="N141" s="32">
        <f t="shared" si="11"/>
      </c>
      <c r="O141" s="33">
        <f t="shared" si="12"/>
      </c>
      <c r="P141" s="32">
        <f t="shared" si="13"/>
      </c>
      <c r="Q141" s="33">
        <f t="shared" si="14"/>
      </c>
    </row>
    <row r="142" spans="1:17" x14ac:dyDescent="0.25">
      <c r="A142" s="22"/>
      <c r="B142" s="5"/>
      <c r="C142" s="5"/>
      <c r="D142" s="5"/>
      <c r="E142" s="5"/>
      <c r="F142" s="5"/>
      <c r="G142" s="5"/>
      <c r="H142" s="23"/>
      <c r="I142" s="23"/>
      <c r="J142" s="5"/>
      <c r="K142" s="31">
        <f t="shared" si="10"/>
      </c>
      <c r="L142" s="32">
        <f>IF($A142="","",C142*SUMIFS(Settings!$B$21:$B$25,Settings!$A$21:$A$25,SUMPRODUCT(MAX((Settings!$A$21:$A$25&lt;=$A142)*Settings!$A$21:$A$25)))+D142*SUMIFS(Settings!$C$21:$C$25,Settings!$A$21:$A$25,SUMPRODUCT(MAX((Settings!$A$21:$A$25&lt;=$A142)*Settings!$A$21:$A$25))))</f>
      </c>
      <c r="M142" s="32">
        <f>IF($A142="","",L142*IFERROR(INDEX(Settings!$B$30:$B$36,MATCH($B142,Settings!$A$30:$A$36,0)),0))</f>
      </c>
      <c r="N142" s="32">
        <f t="shared" si="11"/>
      </c>
      <c r="O142" s="33">
        <f t="shared" si="12"/>
      </c>
      <c r="P142" s="32">
        <f t="shared" si="13"/>
      </c>
      <c r="Q142" s="33">
        <f t="shared" si="14"/>
      </c>
    </row>
    <row r="143" spans="1:17" x14ac:dyDescent="0.25">
      <c r="A143" s="22"/>
      <c r="B143" s="5"/>
      <c r="C143" s="5"/>
      <c r="D143" s="5"/>
      <c r="E143" s="5"/>
      <c r="F143" s="5"/>
      <c r="G143" s="5"/>
      <c r="H143" s="23"/>
      <c r="I143" s="23"/>
      <c r="J143" s="5"/>
      <c r="K143" s="31">
        <f t="shared" si="10"/>
      </c>
      <c r="L143" s="32">
        <f>IF($A143="","",C143*SUMIFS(Settings!$B$21:$B$25,Settings!$A$21:$A$25,SUMPRODUCT(MAX((Settings!$A$21:$A$25&lt;=$A143)*Settings!$A$21:$A$25)))+D143*SUMIFS(Settings!$C$21:$C$25,Settings!$A$21:$A$25,SUMPRODUCT(MAX((Settings!$A$21:$A$25&lt;=$A143)*Settings!$A$21:$A$25))))</f>
      </c>
      <c r="M143" s="32">
        <f>IF($A143="","",L143*IFERROR(INDEX(Settings!$B$30:$B$36,MATCH($B143,Settings!$A$30:$A$36,0)),0))</f>
      </c>
      <c r="N143" s="32">
        <f t="shared" si="11"/>
      </c>
      <c r="O143" s="33">
        <f t="shared" si="12"/>
      </c>
      <c r="P143" s="32">
        <f t="shared" si="13"/>
      </c>
      <c r="Q143" s="33">
        <f t="shared" si="14"/>
      </c>
    </row>
    <row r="144" spans="1:17" x14ac:dyDescent="0.25">
      <c r="A144" s="22"/>
      <c r="B144" s="5"/>
      <c r="C144" s="5"/>
      <c r="D144" s="5"/>
      <c r="E144" s="5"/>
      <c r="F144" s="5"/>
      <c r="G144" s="5"/>
      <c r="H144" s="23"/>
      <c r="I144" s="23"/>
      <c r="J144" s="5"/>
      <c r="K144" s="31">
        <f t="shared" si="10"/>
      </c>
      <c r="L144" s="32">
        <f>IF($A144="","",C144*SUMIFS(Settings!$B$21:$B$25,Settings!$A$21:$A$25,SUMPRODUCT(MAX((Settings!$A$21:$A$25&lt;=$A144)*Settings!$A$21:$A$25)))+D144*SUMIFS(Settings!$C$21:$C$25,Settings!$A$21:$A$25,SUMPRODUCT(MAX((Settings!$A$21:$A$25&lt;=$A144)*Settings!$A$21:$A$25))))</f>
      </c>
      <c r="M144" s="32">
        <f>IF($A144="","",L144*IFERROR(INDEX(Settings!$B$30:$B$36,MATCH($B144,Settings!$A$30:$A$36,0)),0))</f>
      </c>
      <c r="N144" s="32">
        <f t="shared" si="11"/>
      </c>
      <c r="O144" s="33">
        <f t="shared" si="12"/>
      </c>
      <c r="P144" s="32">
        <f t="shared" si="13"/>
      </c>
      <c r="Q144" s="33">
        <f t="shared" si="14"/>
      </c>
    </row>
    <row r="145" spans="1:17" x14ac:dyDescent="0.25">
      <c r="A145" s="22"/>
      <c r="B145" s="5"/>
      <c r="C145" s="5"/>
      <c r="D145" s="5"/>
      <c r="E145" s="5"/>
      <c r="F145" s="5"/>
      <c r="G145" s="5"/>
      <c r="H145" s="23"/>
      <c r="I145" s="23"/>
      <c r="J145" s="5"/>
      <c r="K145" s="31">
        <f t="shared" si="10"/>
      </c>
      <c r="L145" s="32">
        <f>IF($A145="","",C145*SUMIFS(Settings!$B$21:$B$25,Settings!$A$21:$A$25,SUMPRODUCT(MAX((Settings!$A$21:$A$25&lt;=$A145)*Settings!$A$21:$A$25)))+D145*SUMIFS(Settings!$C$21:$C$25,Settings!$A$21:$A$25,SUMPRODUCT(MAX((Settings!$A$21:$A$25&lt;=$A145)*Settings!$A$21:$A$25))))</f>
      </c>
      <c r="M145" s="32">
        <f>IF($A145="","",L145*IFERROR(INDEX(Settings!$B$30:$B$36,MATCH($B145,Settings!$A$30:$A$36,0)),0))</f>
      </c>
      <c r="N145" s="32">
        <f t="shared" si="11"/>
      </c>
      <c r="O145" s="33">
        <f t="shared" si="12"/>
      </c>
      <c r="P145" s="32">
        <f t="shared" si="13"/>
      </c>
      <c r="Q145" s="33">
        <f t="shared" si="14"/>
      </c>
    </row>
    <row r="146" spans="1:17" x14ac:dyDescent="0.25">
      <c r="A146" s="22"/>
      <c r="B146" s="5"/>
      <c r="C146" s="5"/>
      <c r="D146" s="5"/>
      <c r="E146" s="5"/>
      <c r="F146" s="5"/>
      <c r="G146" s="5"/>
      <c r="H146" s="23"/>
      <c r="I146" s="23"/>
      <c r="J146" s="5"/>
      <c r="K146" s="31">
        <f t="shared" si="10"/>
      </c>
      <c r="L146" s="32">
        <f>IF($A146="","",C146*SUMIFS(Settings!$B$21:$B$25,Settings!$A$21:$A$25,SUMPRODUCT(MAX((Settings!$A$21:$A$25&lt;=$A146)*Settings!$A$21:$A$25)))+D146*SUMIFS(Settings!$C$21:$C$25,Settings!$A$21:$A$25,SUMPRODUCT(MAX((Settings!$A$21:$A$25&lt;=$A146)*Settings!$A$21:$A$25))))</f>
      </c>
      <c r="M146" s="32">
        <f>IF($A146="","",L146*IFERROR(INDEX(Settings!$B$30:$B$36,MATCH($B146,Settings!$A$30:$A$36,0)),0))</f>
      </c>
      <c r="N146" s="32">
        <f t="shared" si="11"/>
      </c>
      <c r="O146" s="33">
        <f t="shared" si="12"/>
      </c>
      <c r="P146" s="32">
        <f t="shared" si="13"/>
      </c>
      <c r="Q146" s="33">
        <f t="shared" si="14"/>
      </c>
    </row>
    <row r="147" spans="1:17" x14ac:dyDescent="0.25">
      <c r="A147" s="22"/>
      <c r="B147" s="5"/>
      <c r="C147" s="5"/>
      <c r="D147" s="5"/>
      <c r="E147" s="5"/>
      <c r="F147" s="5"/>
      <c r="G147" s="5"/>
      <c r="H147" s="23"/>
      <c r="I147" s="23"/>
      <c r="J147" s="5"/>
      <c r="K147" s="31">
        <f t="shared" si="10"/>
      </c>
      <c r="L147" s="32">
        <f>IF($A147="","",C147*SUMIFS(Settings!$B$21:$B$25,Settings!$A$21:$A$25,SUMPRODUCT(MAX((Settings!$A$21:$A$25&lt;=$A147)*Settings!$A$21:$A$25)))+D147*SUMIFS(Settings!$C$21:$C$25,Settings!$A$21:$A$25,SUMPRODUCT(MAX((Settings!$A$21:$A$25&lt;=$A147)*Settings!$A$21:$A$25))))</f>
      </c>
      <c r="M147" s="32">
        <f>IF($A147="","",L147*IFERROR(INDEX(Settings!$B$30:$B$36,MATCH($B147,Settings!$A$30:$A$36,0)),0))</f>
      </c>
      <c r="N147" s="32">
        <f t="shared" si="11"/>
      </c>
      <c r="O147" s="33">
        <f t="shared" si="12"/>
      </c>
      <c r="P147" s="32">
        <f t="shared" si="13"/>
      </c>
      <c r="Q147" s="33">
        <f t="shared" si="14"/>
      </c>
    </row>
    <row r="148" spans="1:17" x14ac:dyDescent="0.25">
      <c r="A148" s="22"/>
      <c r="B148" s="5"/>
      <c r="C148" s="5"/>
      <c r="D148" s="5"/>
      <c r="E148" s="5"/>
      <c r="F148" s="5"/>
      <c r="G148" s="5"/>
      <c r="H148" s="23"/>
      <c r="I148" s="23"/>
      <c r="J148" s="5"/>
      <c r="K148" s="31">
        <f t="shared" si="10"/>
      </c>
      <c r="L148" s="32">
        <f>IF($A148="","",C148*SUMIFS(Settings!$B$21:$B$25,Settings!$A$21:$A$25,SUMPRODUCT(MAX((Settings!$A$21:$A$25&lt;=$A148)*Settings!$A$21:$A$25)))+D148*SUMIFS(Settings!$C$21:$C$25,Settings!$A$21:$A$25,SUMPRODUCT(MAX((Settings!$A$21:$A$25&lt;=$A148)*Settings!$A$21:$A$25))))</f>
      </c>
      <c r="M148" s="32">
        <f>IF($A148="","",L148*IFERROR(INDEX(Settings!$B$30:$B$36,MATCH($B148,Settings!$A$30:$A$36,0)),0))</f>
      </c>
      <c r="N148" s="32">
        <f t="shared" si="11"/>
      </c>
      <c r="O148" s="33">
        <f t="shared" si="12"/>
      </c>
      <c r="P148" s="32">
        <f t="shared" si="13"/>
      </c>
      <c r="Q148" s="33">
        <f t="shared" si="14"/>
      </c>
    </row>
    <row r="149" spans="1:17" x14ac:dyDescent="0.25">
      <c r="A149" s="22"/>
      <c r="B149" s="5"/>
      <c r="C149" s="5"/>
      <c r="D149" s="5"/>
      <c r="E149" s="5"/>
      <c r="F149" s="5"/>
      <c r="G149" s="5"/>
      <c r="H149" s="23"/>
      <c r="I149" s="23"/>
      <c r="J149" s="5"/>
      <c r="K149" s="31">
        <f t="shared" si="10"/>
      </c>
      <c r="L149" s="32">
        <f>IF($A149="","",C149*SUMIFS(Settings!$B$21:$B$25,Settings!$A$21:$A$25,SUMPRODUCT(MAX((Settings!$A$21:$A$25&lt;=$A149)*Settings!$A$21:$A$25)))+D149*SUMIFS(Settings!$C$21:$C$25,Settings!$A$21:$A$25,SUMPRODUCT(MAX((Settings!$A$21:$A$25&lt;=$A149)*Settings!$A$21:$A$25))))</f>
      </c>
      <c r="M149" s="32">
        <f>IF($A149="","",L149*IFERROR(INDEX(Settings!$B$30:$B$36,MATCH($B149,Settings!$A$30:$A$36,0)),0))</f>
      </c>
      <c r="N149" s="32">
        <f t="shared" si="11"/>
      </c>
      <c r="O149" s="33">
        <f t="shared" si="12"/>
      </c>
      <c r="P149" s="32">
        <f t="shared" si="13"/>
      </c>
      <c r="Q149" s="33">
        <f t="shared" si="14"/>
      </c>
    </row>
    <row r="150" spans="1:17" x14ac:dyDescent="0.25">
      <c r="A150" s="22"/>
      <c r="B150" s="5"/>
      <c r="C150" s="5"/>
      <c r="D150" s="5"/>
      <c r="E150" s="5"/>
      <c r="F150" s="5"/>
      <c r="G150" s="5"/>
      <c r="H150" s="23"/>
      <c r="I150" s="23"/>
      <c r="J150" s="5"/>
      <c r="K150" s="31">
        <f t="shared" si="10"/>
      </c>
      <c r="L150" s="32">
        <f>IF($A150="","",C150*SUMIFS(Settings!$B$21:$B$25,Settings!$A$21:$A$25,SUMPRODUCT(MAX((Settings!$A$21:$A$25&lt;=$A150)*Settings!$A$21:$A$25)))+D150*SUMIFS(Settings!$C$21:$C$25,Settings!$A$21:$A$25,SUMPRODUCT(MAX((Settings!$A$21:$A$25&lt;=$A150)*Settings!$A$21:$A$25))))</f>
      </c>
      <c r="M150" s="32">
        <f>IF($A150="","",L150*IFERROR(INDEX(Settings!$B$30:$B$36,MATCH($B150,Settings!$A$30:$A$36,0)),0))</f>
      </c>
      <c r="N150" s="32">
        <f t="shared" si="11"/>
      </c>
      <c r="O150" s="33">
        <f t="shared" si="12"/>
      </c>
      <c r="P150" s="32">
        <f t="shared" si="13"/>
      </c>
      <c r="Q150" s="33">
        <f t="shared" si="14"/>
      </c>
    </row>
    <row r="151" spans="1:17" x14ac:dyDescent="0.25">
      <c r="A151" s="22"/>
      <c r="B151" s="5"/>
      <c r="C151" s="5"/>
      <c r="D151" s="5"/>
      <c r="E151" s="5"/>
      <c r="F151" s="5"/>
      <c r="G151" s="5"/>
      <c r="H151" s="23"/>
      <c r="I151" s="23"/>
      <c r="J151" s="5"/>
      <c r="K151" s="31">
        <f t="shared" si="10"/>
      </c>
      <c r="L151" s="32">
        <f>IF($A151="","",C151*SUMIFS(Settings!$B$21:$B$25,Settings!$A$21:$A$25,SUMPRODUCT(MAX((Settings!$A$21:$A$25&lt;=$A151)*Settings!$A$21:$A$25)))+D151*SUMIFS(Settings!$C$21:$C$25,Settings!$A$21:$A$25,SUMPRODUCT(MAX((Settings!$A$21:$A$25&lt;=$A151)*Settings!$A$21:$A$25))))</f>
      </c>
      <c r="M151" s="32">
        <f>IF($A151="","",L151*IFERROR(INDEX(Settings!$B$30:$B$36,MATCH($B151,Settings!$A$30:$A$36,0)),0))</f>
      </c>
      <c r="N151" s="32">
        <f t="shared" si="11"/>
      </c>
      <c r="O151" s="33">
        <f t="shared" si="12"/>
      </c>
      <c r="P151" s="32">
        <f t="shared" si="13"/>
      </c>
      <c r="Q151" s="33">
        <f t="shared" si="14"/>
      </c>
    </row>
    <row r="152" spans="1:17" x14ac:dyDescent="0.25">
      <c r="A152" s="22"/>
      <c r="B152" s="5"/>
      <c r="C152" s="5"/>
      <c r="D152" s="5"/>
      <c r="E152" s="5"/>
      <c r="F152" s="5"/>
      <c r="G152" s="5"/>
      <c r="H152" s="23"/>
      <c r="I152" s="23"/>
      <c r="J152" s="5"/>
      <c r="K152" s="31">
        <f t="shared" si="10"/>
      </c>
      <c r="L152" s="32">
        <f>IF($A152="","",C152*SUMIFS(Settings!$B$21:$B$25,Settings!$A$21:$A$25,SUMPRODUCT(MAX((Settings!$A$21:$A$25&lt;=$A152)*Settings!$A$21:$A$25)))+D152*SUMIFS(Settings!$C$21:$C$25,Settings!$A$21:$A$25,SUMPRODUCT(MAX((Settings!$A$21:$A$25&lt;=$A152)*Settings!$A$21:$A$25))))</f>
      </c>
      <c r="M152" s="32">
        <f>IF($A152="","",L152*IFERROR(INDEX(Settings!$B$30:$B$36,MATCH($B152,Settings!$A$30:$A$36,0)),0))</f>
      </c>
      <c r="N152" s="32">
        <f t="shared" si="11"/>
      </c>
      <c r="O152" s="33">
        <f t="shared" si="12"/>
      </c>
      <c r="P152" s="32">
        <f t="shared" si="13"/>
      </c>
      <c r="Q152" s="33">
        <f t="shared" si="14"/>
      </c>
    </row>
    <row r="153" spans="1:17" x14ac:dyDescent="0.25">
      <c r="A153" s="22"/>
      <c r="B153" s="5"/>
      <c r="C153" s="5"/>
      <c r="D153" s="5"/>
      <c r="E153" s="5"/>
      <c r="F153" s="5"/>
      <c r="G153" s="5"/>
      <c r="H153" s="23"/>
      <c r="I153" s="23"/>
      <c r="J153" s="5"/>
      <c r="K153" s="31">
        <f t="shared" si="10"/>
      </c>
      <c r="L153" s="32">
        <f>IF($A153="","",C153*SUMIFS(Settings!$B$21:$B$25,Settings!$A$21:$A$25,SUMPRODUCT(MAX((Settings!$A$21:$A$25&lt;=$A153)*Settings!$A$21:$A$25)))+D153*SUMIFS(Settings!$C$21:$C$25,Settings!$A$21:$A$25,SUMPRODUCT(MAX((Settings!$A$21:$A$25&lt;=$A153)*Settings!$A$21:$A$25))))</f>
      </c>
      <c r="M153" s="32">
        <f>IF($A153="","",L153*IFERROR(INDEX(Settings!$B$30:$B$36,MATCH($B153,Settings!$A$30:$A$36,0)),0))</f>
      </c>
      <c r="N153" s="32">
        <f t="shared" si="11"/>
      </c>
      <c r="O153" s="33">
        <f t="shared" si="12"/>
      </c>
      <c r="P153" s="32">
        <f t="shared" si="13"/>
      </c>
      <c r="Q153" s="33">
        <f t="shared" si="14"/>
      </c>
    </row>
    <row r="154" spans="1:17" x14ac:dyDescent="0.25">
      <c r="A154" s="22"/>
      <c r="B154" s="5"/>
      <c r="C154" s="5"/>
      <c r="D154" s="5"/>
      <c r="E154" s="5"/>
      <c r="F154" s="5"/>
      <c r="G154" s="5"/>
      <c r="H154" s="23"/>
      <c r="I154" s="23"/>
      <c r="J154" s="5"/>
      <c r="K154" s="31">
        <f t="shared" si="10"/>
      </c>
      <c r="L154" s="32">
        <f>IF($A154="","",C154*SUMIFS(Settings!$B$21:$B$25,Settings!$A$21:$A$25,SUMPRODUCT(MAX((Settings!$A$21:$A$25&lt;=$A154)*Settings!$A$21:$A$25)))+D154*SUMIFS(Settings!$C$21:$C$25,Settings!$A$21:$A$25,SUMPRODUCT(MAX((Settings!$A$21:$A$25&lt;=$A154)*Settings!$A$21:$A$25))))</f>
      </c>
      <c r="M154" s="32">
        <f>IF($A154="","",L154*IFERROR(INDEX(Settings!$B$30:$B$36,MATCH($B154,Settings!$A$30:$A$36,0)),0))</f>
      </c>
      <c r="N154" s="32">
        <f t="shared" si="11"/>
      </c>
      <c r="O154" s="33">
        <f t="shared" si="12"/>
      </c>
      <c r="P154" s="32">
        <f t="shared" si="13"/>
      </c>
      <c r="Q154" s="33">
        <f t="shared" si="14"/>
      </c>
    </row>
    <row r="155" spans="1:17" x14ac:dyDescent="0.25">
      <c r="A155" s="22"/>
      <c r="B155" s="5"/>
      <c r="C155" s="5"/>
      <c r="D155" s="5"/>
      <c r="E155" s="5"/>
      <c r="F155" s="5"/>
      <c r="G155" s="5"/>
      <c r="H155" s="23"/>
      <c r="I155" s="23"/>
      <c r="J155" s="5"/>
      <c r="K155" s="31">
        <f t="shared" si="10"/>
      </c>
      <c r="L155" s="32">
        <f>IF($A155="","",C155*SUMIFS(Settings!$B$21:$B$25,Settings!$A$21:$A$25,SUMPRODUCT(MAX((Settings!$A$21:$A$25&lt;=$A155)*Settings!$A$21:$A$25)))+D155*SUMIFS(Settings!$C$21:$C$25,Settings!$A$21:$A$25,SUMPRODUCT(MAX((Settings!$A$21:$A$25&lt;=$A155)*Settings!$A$21:$A$25))))</f>
      </c>
      <c r="M155" s="32">
        <f>IF($A155="","",L155*IFERROR(INDEX(Settings!$B$30:$B$36,MATCH($B155,Settings!$A$30:$A$36,0)),0))</f>
      </c>
      <c r="N155" s="32">
        <f t="shared" si="11"/>
      </c>
      <c r="O155" s="33">
        <f t="shared" si="12"/>
      </c>
      <c r="P155" s="32">
        <f t="shared" si="13"/>
      </c>
      <c r="Q155" s="33">
        <f t="shared" si="14"/>
      </c>
    </row>
    <row r="156" spans="1:17" x14ac:dyDescent="0.25">
      <c r="A156" s="22"/>
      <c r="B156" s="5"/>
      <c r="C156" s="5"/>
      <c r="D156" s="5"/>
      <c r="E156" s="5"/>
      <c r="F156" s="5"/>
      <c r="G156" s="5"/>
      <c r="H156" s="23"/>
      <c r="I156" s="23"/>
      <c r="J156" s="5"/>
      <c r="K156" s="31">
        <f t="shared" si="10"/>
      </c>
      <c r="L156" s="32">
        <f>IF($A156="","",C156*SUMIFS(Settings!$B$21:$B$25,Settings!$A$21:$A$25,SUMPRODUCT(MAX((Settings!$A$21:$A$25&lt;=$A156)*Settings!$A$21:$A$25)))+D156*SUMIFS(Settings!$C$21:$C$25,Settings!$A$21:$A$25,SUMPRODUCT(MAX((Settings!$A$21:$A$25&lt;=$A156)*Settings!$A$21:$A$25))))</f>
      </c>
      <c r="M156" s="32">
        <f>IF($A156="","",L156*IFERROR(INDEX(Settings!$B$30:$B$36,MATCH($B156,Settings!$A$30:$A$36,0)),0))</f>
      </c>
      <c r="N156" s="32">
        <f t="shared" si="11"/>
      </c>
      <c r="O156" s="33">
        <f t="shared" si="12"/>
      </c>
      <c r="P156" s="32">
        <f t="shared" si="13"/>
      </c>
      <c r="Q156" s="33">
        <f t="shared" si="14"/>
      </c>
    </row>
    <row r="157" spans="1:17" x14ac:dyDescent="0.25">
      <c r="A157" s="22"/>
      <c r="B157" s="5"/>
      <c r="C157" s="5"/>
      <c r="D157" s="5"/>
      <c r="E157" s="5"/>
      <c r="F157" s="5"/>
      <c r="G157" s="5"/>
      <c r="H157" s="23"/>
      <c r="I157" s="23"/>
      <c r="J157" s="5"/>
      <c r="K157" s="31">
        <f t="shared" si="10"/>
      </c>
      <c r="L157" s="32">
        <f>IF($A157="","",C157*SUMIFS(Settings!$B$21:$B$25,Settings!$A$21:$A$25,SUMPRODUCT(MAX((Settings!$A$21:$A$25&lt;=$A157)*Settings!$A$21:$A$25)))+D157*SUMIFS(Settings!$C$21:$C$25,Settings!$A$21:$A$25,SUMPRODUCT(MAX((Settings!$A$21:$A$25&lt;=$A157)*Settings!$A$21:$A$25))))</f>
      </c>
      <c r="M157" s="32">
        <f>IF($A157="","",L157*IFERROR(INDEX(Settings!$B$30:$B$36,MATCH($B157,Settings!$A$30:$A$36,0)),0))</f>
      </c>
      <c r="N157" s="32">
        <f t="shared" si="11"/>
      </c>
      <c r="O157" s="33">
        <f t="shared" si="12"/>
      </c>
      <c r="P157" s="32">
        <f t="shared" si="13"/>
      </c>
      <c r="Q157" s="33">
        <f t="shared" si="14"/>
      </c>
    </row>
    <row r="158" spans="1:17" x14ac:dyDescent="0.25">
      <c r="A158" s="22"/>
      <c r="B158" s="5"/>
      <c r="C158" s="5"/>
      <c r="D158" s="5"/>
      <c r="E158" s="5"/>
      <c r="F158" s="5"/>
      <c r="G158" s="5"/>
      <c r="H158" s="23"/>
      <c r="I158" s="23"/>
      <c r="J158" s="5"/>
      <c r="K158" s="31">
        <f t="shared" si="10"/>
      </c>
      <c r="L158" s="32">
        <f>IF($A158="","",C158*SUMIFS(Settings!$B$21:$B$25,Settings!$A$21:$A$25,SUMPRODUCT(MAX((Settings!$A$21:$A$25&lt;=$A158)*Settings!$A$21:$A$25)))+D158*SUMIFS(Settings!$C$21:$C$25,Settings!$A$21:$A$25,SUMPRODUCT(MAX((Settings!$A$21:$A$25&lt;=$A158)*Settings!$A$21:$A$25))))</f>
      </c>
      <c r="M158" s="32">
        <f>IF($A158="","",L158*IFERROR(INDEX(Settings!$B$30:$B$36,MATCH($B158,Settings!$A$30:$A$36,0)),0))</f>
      </c>
      <c r="N158" s="32">
        <f t="shared" si="11"/>
      </c>
      <c r="O158" s="33">
        <f t="shared" si="12"/>
      </c>
      <c r="P158" s="32">
        <f t="shared" si="13"/>
      </c>
      <c r="Q158" s="33">
        <f t="shared" si="14"/>
      </c>
    </row>
    <row r="159" spans="1:17" x14ac:dyDescent="0.25">
      <c r="A159" s="22"/>
      <c r="B159" s="5"/>
      <c r="C159" s="5"/>
      <c r="D159" s="5"/>
      <c r="E159" s="5"/>
      <c r="F159" s="5"/>
      <c r="G159" s="5"/>
      <c r="H159" s="23"/>
      <c r="I159" s="23"/>
      <c r="J159" s="5"/>
      <c r="K159" s="31">
        <f t="shared" si="10"/>
      </c>
      <c r="L159" s="32">
        <f>IF($A159="","",C159*SUMIFS(Settings!$B$21:$B$25,Settings!$A$21:$A$25,SUMPRODUCT(MAX((Settings!$A$21:$A$25&lt;=$A159)*Settings!$A$21:$A$25)))+D159*SUMIFS(Settings!$C$21:$C$25,Settings!$A$21:$A$25,SUMPRODUCT(MAX((Settings!$A$21:$A$25&lt;=$A159)*Settings!$A$21:$A$25))))</f>
      </c>
      <c r="M159" s="32">
        <f>IF($A159="","",L159*IFERROR(INDEX(Settings!$B$30:$B$36,MATCH($B159,Settings!$A$30:$A$36,0)),0))</f>
      </c>
      <c r="N159" s="32">
        <f t="shared" si="11"/>
      </c>
      <c r="O159" s="33">
        <f t="shared" si="12"/>
      </c>
      <c r="P159" s="32">
        <f t="shared" si="13"/>
      </c>
      <c r="Q159" s="33">
        <f t="shared" si="14"/>
      </c>
    </row>
    <row r="160" spans="1:17" x14ac:dyDescent="0.25">
      <c r="A160" s="22"/>
      <c r="B160" s="5"/>
      <c r="C160" s="5"/>
      <c r="D160" s="5"/>
      <c r="E160" s="5"/>
      <c r="F160" s="5"/>
      <c r="G160" s="5"/>
      <c r="H160" s="23"/>
      <c r="I160" s="23"/>
      <c r="J160" s="5"/>
      <c r="K160" s="31">
        <f t="shared" si="10"/>
      </c>
      <c r="L160" s="32">
        <f>IF($A160="","",C160*SUMIFS(Settings!$B$21:$B$25,Settings!$A$21:$A$25,SUMPRODUCT(MAX((Settings!$A$21:$A$25&lt;=$A160)*Settings!$A$21:$A$25)))+D160*SUMIFS(Settings!$C$21:$C$25,Settings!$A$21:$A$25,SUMPRODUCT(MAX((Settings!$A$21:$A$25&lt;=$A160)*Settings!$A$21:$A$25))))</f>
      </c>
      <c r="M160" s="32">
        <f>IF($A160="","",L160*IFERROR(INDEX(Settings!$B$30:$B$36,MATCH($B160,Settings!$A$30:$A$36,0)),0))</f>
      </c>
      <c r="N160" s="32">
        <f t="shared" si="11"/>
      </c>
      <c r="O160" s="33">
        <f t="shared" si="12"/>
      </c>
      <c r="P160" s="32">
        <f t="shared" si="13"/>
      </c>
      <c r="Q160" s="33">
        <f t="shared" si="14"/>
      </c>
    </row>
    <row r="161" spans="1:17" x14ac:dyDescent="0.25">
      <c r="A161" s="22"/>
      <c r="B161" s="5"/>
      <c r="C161" s="5"/>
      <c r="D161" s="5"/>
      <c r="E161" s="5"/>
      <c r="F161" s="5"/>
      <c r="G161" s="5"/>
      <c r="H161" s="23"/>
      <c r="I161" s="23"/>
      <c r="J161" s="5"/>
      <c r="K161" s="31">
        <f t="shared" si="10"/>
      </c>
      <c r="L161" s="32">
        <f>IF($A161="","",C161*SUMIFS(Settings!$B$21:$B$25,Settings!$A$21:$A$25,SUMPRODUCT(MAX((Settings!$A$21:$A$25&lt;=$A161)*Settings!$A$21:$A$25)))+D161*SUMIFS(Settings!$C$21:$C$25,Settings!$A$21:$A$25,SUMPRODUCT(MAX((Settings!$A$21:$A$25&lt;=$A161)*Settings!$A$21:$A$25))))</f>
      </c>
      <c r="M161" s="32">
        <f>IF($A161="","",L161*IFERROR(INDEX(Settings!$B$30:$B$36,MATCH($B161,Settings!$A$30:$A$36,0)),0))</f>
      </c>
      <c r="N161" s="32">
        <f t="shared" si="11"/>
      </c>
      <c r="O161" s="33">
        <f t="shared" si="12"/>
      </c>
      <c r="P161" s="32">
        <f t="shared" si="13"/>
      </c>
      <c r="Q161" s="33">
        <f t="shared" si="14"/>
      </c>
    </row>
    <row r="162" spans="1:17" x14ac:dyDescent="0.25">
      <c r="A162" s="22"/>
      <c r="B162" s="5"/>
      <c r="C162" s="5"/>
      <c r="D162" s="5"/>
      <c r="E162" s="5"/>
      <c r="F162" s="5"/>
      <c r="G162" s="5"/>
      <c r="H162" s="23"/>
      <c r="I162" s="23"/>
      <c r="J162" s="5"/>
      <c r="K162" s="31">
        <f t="shared" si="10"/>
      </c>
      <c r="L162" s="32">
        <f>IF($A162="","",C162*SUMIFS(Settings!$B$21:$B$25,Settings!$A$21:$A$25,SUMPRODUCT(MAX((Settings!$A$21:$A$25&lt;=$A162)*Settings!$A$21:$A$25)))+D162*SUMIFS(Settings!$C$21:$C$25,Settings!$A$21:$A$25,SUMPRODUCT(MAX((Settings!$A$21:$A$25&lt;=$A162)*Settings!$A$21:$A$25))))</f>
      </c>
      <c r="M162" s="32">
        <f>IF($A162="","",L162*IFERROR(INDEX(Settings!$B$30:$B$36,MATCH($B162,Settings!$A$30:$A$36,0)),0))</f>
      </c>
      <c r="N162" s="32">
        <f t="shared" si="11"/>
      </c>
      <c r="O162" s="33">
        <f t="shared" si="12"/>
      </c>
      <c r="P162" s="32">
        <f t="shared" si="13"/>
      </c>
      <c r="Q162" s="33">
        <f t="shared" si="14"/>
      </c>
    </row>
    <row r="163" spans="1:17" x14ac:dyDescent="0.25">
      <c r="A163" s="22"/>
      <c r="B163" s="5"/>
      <c r="C163" s="5"/>
      <c r="D163" s="5"/>
      <c r="E163" s="5"/>
      <c r="F163" s="5"/>
      <c r="G163" s="5"/>
      <c r="H163" s="23"/>
      <c r="I163" s="23"/>
      <c r="J163" s="5"/>
      <c r="K163" s="31">
        <f t="shared" si="10"/>
      </c>
      <c r="L163" s="32">
        <f>IF($A163="","",C163*SUMIFS(Settings!$B$21:$B$25,Settings!$A$21:$A$25,SUMPRODUCT(MAX((Settings!$A$21:$A$25&lt;=$A163)*Settings!$A$21:$A$25)))+D163*SUMIFS(Settings!$C$21:$C$25,Settings!$A$21:$A$25,SUMPRODUCT(MAX((Settings!$A$21:$A$25&lt;=$A163)*Settings!$A$21:$A$25))))</f>
      </c>
      <c r="M163" s="32">
        <f>IF($A163="","",L163*IFERROR(INDEX(Settings!$B$30:$B$36,MATCH($B163,Settings!$A$30:$A$36,0)),0))</f>
      </c>
      <c r="N163" s="32">
        <f t="shared" si="11"/>
      </c>
      <c r="O163" s="33">
        <f t="shared" si="12"/>
      </c>
      <c r="P163" s="32">
        <f t="shared" si="13"/>
      </c>
      <c r="Q163" s="33">
        <f t="shared" si="14"/>
      </c>
    </row>
    <row r="164" spans="1:17" x14ac:dyDescent="0.25">
      <c r="A164" s="22"/>
      <c r="B164" s="5"/>
      <c r="C164" s="5"/>
      <c r="D164" s="5"/>
      <c r="E164" s="5"/>
      <c r="F164" s="5"/>
      <c r="G164" s="5"/>
      <c r="H164" s="23"/>
      <c r="I164" s="23"/>
      <c r="J164" s="5"/>
      <c r="K164" s="31">
        <f t="shared" si="10"/>
      </c>
      <c r="L164" s="32">
        <f>IF($A164="","",C164*SUMIFS(Settings!$B$21:$B$25,Settings!$A$21:$A$25,SUMPRODUCT(MAX((Settings!$A$21:$A$25&lt;=$A164)*Settings!$A$21:$A$25)))+D164*SUMIFS(Settings!$C$21:$C$25,Settings!$A$21:$A$25,SUMPRODUCT(MAX((Settings!$A$21:$A$25&lt;=$A164)*Settings!$A$21:$A$25))))</f>
      </c>
      <c r="M164" s="32">
        <f>IF($A164="","",L164*IFERROR(INDEX(Settings!$B$30:$B$36,MATCH($B164,Settings!$A$30:$A$36,0)),0))</f>
      </c>
      <c r="N164" s="32">
        <f t="shared" si="11"/>
      </c>
      <c r="O164" s="33">
        <f t="shared" si="12"/>
      </c>
      <c r="P164" s="32">
        <f t="shared" si="13"/>
      </c>
      <c r="Q164" s="33">
        <f t="shared" si="14"/>
      </c>
    </row>
    <row r="165" spans="1:17" x14ac:dyDescent="0.25">
      <c r="A165" s="22"/>
      <c r="B165" s="5"/>
      <c r="C165" s="5"/>
      <c r="D165" s="5"/>
      <c r="E165" s="5"/>
      <c r="F165" s="5"/>
      <c r="G165" s="5"/>
      <c r="H165" s="23"/>
      <c r="I165" s="23"/>
      <c r="J165" s="5"/>
      <c r="K165" s="31">
        <f t="shared" si="10"/>
      </c>
      <c r="L165" s="32">
        <f>IF($A165="","",C165*SUMIFS(Settings!$B$21:$B$25,Settings!$A$21:$A$25,SUMPRODUCT(MAX((Settings!$A$21:$A$25&lt;=$A165)*Settings!$A$21:$A$25)))+D165*SUMIFS(Settings!$C$21:$C$25,Settings!$A$21:$A$25,SUMPRODUCT(MAX((Settings!$A$21:$A$25&lt;=$A165)*Settings!$A$21:$A$25))))</f>
      </c>
      <c r="M165" s="32">
        <f>IF($A165="","",L165*IFERROR(INDEX(Settings!$B$30:$B$36,MATCH($B165,Settings!$A$30:$A$36,0)),0))</f>
      </c>
      <c r="N165" s="32">
        <f t="shared" si="11"/>
      </c>
      <c r="O165" s="33">
        <f t="shared" si="12"/>
      </c>
      <c r="P165" s="32">
        <f t="shared" si="13"/>
      </c>
      <c r="Q165" s="33">
        <f t="shared" si="14"/>
      </c>
    </row>
    <row r="166" spans="1:17" x14ac:dyDescent="0.25">
      <c r="A166" s="22"/>
      <c r="B166" s="5"/>
      <c r="C166" s="5"/>
      <c r="D166" s="5"/>
      <c r="E166" s="5"/>
      <c r="F166" s="5"/>
      <c r="G166" s="5"/>
      <c r="H166" s="23"/>
      <c r="I166" s="23"/>
      <c r="J166" s="5"/>
      <c r="K166" s="31">
        <f t="shared" si="10"/>
      </c>
      <c r="L166" s="32">
        <f>IF($A166="","",C166*SUMIFS(Settings!$B$21:$B$25,Settings!$A$21:$A$25,SUMPRODUCT(MAX((Settings!$A$21:$A$25&lt;=$A166)*Settings!$A$21:$A$25)))+D166*SUMIFS(Settings!$C$21:$C$25,Settings!$A$21:$A$25,SUMPRODUCT(MAX((Settings!$A$21:$A$25&lt;=$A166)*Settings!$A$21:$A$25))))</f>
      </c>
      <c r="M166" s="32">
        <f>IF($A166="","",L166*IFERROR(INDEX(Settings!$B$30:$B$36,MATCH($B166,Settings!$A$30:$A$36,0)),0))</f>
      </c>
      <c r="N166" s="32">
        <f t="shared" si="11"/>
      </c>
      <c r="O166" s="33">
        <f t="shared" si="12"/>
      </c>
      <c r="P166" s="32">
        <f t="shared" si="13"/>
      </c>
      <c r="Q166" s="33">
        <f t="shared" si="14"/>
      </c>
    </row>
    <row r="167" spans="1:17" x14ac:dyDescent="0.25">
      <c r="A167" s="22"/>
      <c r="B167" s="5"/>
      <c r="C167" s="5"/>
      <c r="D167" s="5"/>
      <c r="E167" s="5"/>
      <c r="F167" s="5"/>
      <c r="G167" s="5"/>
      <c r="H167" s="23"/>
      <c r="I167" s="23"/>
      <c r="J167" s="5"/>
      <c r="K167" s="31">
        <f t="shared" si="10"/>
      </c>
      <c r="L167" s="32">
        <f>IF($A167="","",C167*SUMIFS(Settings!$B$21:$B$25,Settings!$A$21:$A$25,SUMPRODUCT(MAX((Settings!$A$21:$A$25&lt;=$A167)*Settings!$A$21:$A$25)))+D167*SUMIFS(Settings!$C$21:$C$25,Settings!$A$21:$A$25,SUMPRODUCT(MAX((Settings!$A$21:$A$25&lt;=$A167)*Settings!$A$21:$A$25))))</f>
      </c>
      <c r="M167" s="32">
        <f>IF($A167="","",L167*IFERROR(INDEX(Settings!$B$30:$B$36,MATCH($B167,Settings!$A$30:$A$36,0)),0))</f>
      </c>
      <c r="N167" s="32">
        <f t="shared" si="11"/>
      </c>
      <c r="O167" s="33">
        <f t="shared" si="12"/>
      </c>
      <c r="P167" s="32">
        <f t="shared" si="13"/>
      </c>
      <c r="Q167" s="33">
        <f t="shared" si="14"/>
      </c>
    </row>
    <row r="168" spans="1:17" x14ac:dyDescent="0.25">
      <c r="A168" s="22"/>
      <c r="B168" s="5"/>
      <c r="C168" s="5"/>
      <c r="D168" s="5"/>
      <c r="E168" s="5"/>
      <c r="F168" s="5"/>
      <c r="G168" s="5"/>
      <c r="H168" s="23"/>
      <c r="I168" s="23"/>
      <c r="J168" s="5"/>
      <c r="K168" s="31">
        <f t="shared" si="10"/>
      </c>
      <c r="L168" s="32">
        <f>IF($A168="","",C168*SUMIFS(Settings!$B$21:$B$25,Settings!$A$21:$A$25,SUMPRODUCT(MAX((Settings!$A$21:$A$25&lt;=$A168)*Settings!$A$21:$A$25)))+D168*SUMIFS(Settings!$C$21:$C$25,Settings!$A$21:$A$25,SUMPRODUCT(MAX((Settings!$A$21:$A$25&lt;=$A168)*Settings!$A$21:$A$25))))</f>
      </c>
      <c r="M168" s="32">
        <f>IF($A168="","",L168*IFERROR(INDEX(Settings!$B$30:$B$36,MATCH($B168,Settings!$A$30:$A$36,0)),0))</f>
      </c>
      <c r="N168" s="32">
        <f t="shared" si="11"/>
      </c>
      <c r="O168" s="33">
        <f t="shared" si="12"/>
      </c>
      <c r="P168" s="32">
        <f t="shared" si="13"/>
      </c>
      <c r="Q168" s="33">
        <f t="shared" si="14"/>
      </c>
    </row>
    <row r="169" spans="1:17" x14ac:dyDescent="0.25">
      <c r="A169" s="22"/>
      <c r="B169" s="5"/>
      <c r="C169" s="5"/>
      <c r="D169" s="5"/>
      <c r="E169" s="5"/>
      <c r="F169" s="5"/>
      <c r="G169" s="5"/>
      <c r="H169" s="23"/>
      <c r="I169" s="23"/>
      <c r="J169" s="5"/>
      <c r="K169" s="31">
        <f t="shared" si="10"/>
      </c>
      <c r="L169" s="32">
        <f>IF($A169="","",C169*SUMIFS(Settings!$B$21:$B$25,Settings!$A$21:$A$25,SUMPRODUCT(MAX((Settings!$A$21:$A$25&lt;=$A169)*Settings!$A$21:$A$25)))+D169*SUMIFS(Settings!$C$21:$C$25,Settings!$A$21:$A$25,SUMPRODUCT(MAX((Settings!$A$21:$A$25&lt;=$A169)*Settings!$A$21:$A$25))))</f>
      </c>
      <c r="M169" s="32">
        <f>IF($A169="","",L169*IFERROR(INDEX(Settings!$B$30:$B$36,MATCH($B169,Settings!$A$30:$A$36,0)),0))</f>
      </c>
      <c r="N169" s="32">
        <f t="shared" si="11"/>
      </c>
      <c r="O169" s="33">
        <f t="shared" si="12"/>
      </c>
      <c r="P169" s="32">
        <f t="shared" si="13"/>
      </c>
      <c r="Q169" s="33">
        <f t="shared" si="14"/>
      </c>
    </row>
    <row r="170" spans="1:17" x14ac:dyDescent="0.25">
      <c r="A170" s="22"/>
      <c r="B170" s="5"/>
      <c r="C170" s="5"/>
      <c r="D170" s="5"/>
      <c r="E170" s="5"/>
      <c r="F170" s="5"/>
      <c r="G170" s="5"/>
      <c r="H170" s="23"/>
      <c r="I170" s="23"/>
      <c r="J170" s="5"/>
      <c r="K170" s="31">
        <f t="shared" si="10"/>
      </c>
      <c r="L170" s="32">
        <f>IF($A170="","",C170*SUMIFS(Settings!$B$21:$B$25,Settings!$A$21:$A$25,SUMPRODUCT(MAX((Settings!$A$21:$A$25&lt;=$A170)*Settings!$A$21:$A$25)))+D170*SUMIFS(Settings!$C$21:$C$25,Settings!$A$21:$A$25,SUMPRODUCT(MAX((Settings!$A$21:$A$25&lt;=$A170)*Settings!$A$21:$A$25))))</f>
      </c>
      <c r="M170" s="32">
        <f>IF($A170="","",L170*IFERROR(INDEX(Settings!$B$30:$B$36,MATCH($B170,Settings!$A$30:$A$36,0)),0))</f>
      </c>
      <c r="N170" s="32">
        <f t="shared" si="11"/>
      </c>
      <c r="O170" s="33">
        <f t="shared" si="12"/>
      </c>
      <c r="P170" s="32">
        <f t="shared" si="13"/>
      </c>
      <c r="Q170" s="33">
        <f t="shared" si="14"/>
      </c>
    </row>
    <row r="171" spans="1:17" x14ac:dyDescent="0.25">
      <c r="A171" s="22"/>
      <c r="B171" s="5"/>
      <c r="C171" s="5"/>
      <c r="D171" s="5"/>
      <c r="E171" s="5"/>
      <c r="F171" s="5"/>
      <c r="G171" s="5"/>
      <c r="H171" s="23"/>
      <c r="I171" s="23"/>
      <c r="J171" s="5"/>
      <c r="K171" s="31">
        <f t="shared" si="10"/>
      </c>
      <c r="L171" s="32">
        <f>IF($A171="","",C171*SUMIFS(Settings!$B$21:$B$25,Settings!$A$21:$A$25,SUMPRODUCT(MAX((Settings!$A$21:$A$25&lt;=$A171)*Settings!$A$21:$A$25)))+D171*SUMIFS(Settings!$C$21:$C$25,Settings!$A$21:$A$25,SUMPRODUCT(MAX((Settings!$A$21:$A$25&lt;=$A171)*Settings!$A$21:$A$25))))</f>
      </c>
      <c r="M171" s="32">
        <f>IF($A171="","",L171*IFERROR(INDEX(Settings!$B$30:$B$36,MATCH($B171,Settings!$A$30:$A$36,0)),0))</f>
      </c>
      <c r="N171" s="32">
        <f t="shared" si="11"/>
      </c>
      <c r="O171" s="33">
        <f t="shared" si="12"/>
      </c>
      <c r="P171" s="32">
        <f t="shared" si="13"/>
      </c>
      <c r="Q171" s="33">
        <f t="shared" si="14"/>
      </c>
    </row>
    <row r="172" spans="1:17" x14ac:dyDescent="0.25">
      <c r="A172" s="22"/>
      <c r="B172" s="5"/>
      <c r="C172" s="5"/>
      <c r="D172" s="5"/>
      <c r="E172" s="5"/>
      <c r="F172" s="5"/>
      <c r="G172" s="5"/>
      <c r="H172" s="23"/>
      <c r="I172" s="23"/>
      <c r="J172" s="5"/>
      <c r="K172" s="31">
        <f t="shared" si="10"/>
      </c>
      <c r="L172" s="32">
        <f>IF($A172="","",C172*SUMIFS(Settings!$B$21:$B$25,Settings!$A$21:$A$25,SUMPRODUCT(MAX((Settings!$A$21:$A$25&lt;=$A172)*Settings!$A$21:$A$25)))+D172*SUMIFS(Settings!$C$21:$C$25,Settings!$A$21:$A$25,SUMPRODUCT(MAX((Settings!$A$21:$A$25&lt;=$A172)*Settings!$A$21:$A$25))))</f>
      </c>
      <c r="M172" s="32">
        <f>IF($A172="","",L172*IFERROR(INDEX(Settings!$B$30:$B$36,MATCH($B172,Settings!$A$30:$A$36,0)),0))</f>
      </c>
      <c r="N172" s="32">
        <f t="shared" si="11"/>
      </c>
      <c r="O172" s="33">
        <f t="shared" si="12"/>
      </c>
      <c r="P172" s="32">
        <f t="shared" si="13"/>
      </c>
      <c r="Q172" s="33">
        <f t="shared" si="14"/>
      </c>
    </row>
    <row r="173" spans="1:17" x14ac:dyDescent="0.25">
      <c r="A173" s="22"/>
      <c r="B173" s="5"/>
      <c r="C173" s="5"/>
      <c r="D173" s="5"/>
      <c r="E173" s="5"/>
      <c r="F173" s="5"/>
      <c r="G173" s="5"/>
      <c r="H173" s="23"/>
      <c r="I173" s="23"/>
      <c r="J173" s="5"/>
      <c r="K173" s="31">
        <f t="shared" si="10"/>
      </c>
      <c r="L173" s="32">
        <f>IF($A173="","",C173*SUMIFS(Settings!$B$21:$B$25,Settings!$A$21:$A$25,SUMPRODUCT(MAX((Settings!$A$21:$A$25&lt;=$A173)*Settings!$A$21:$A$25)))+D173*SUMIFS(Settings!$C$21:$C$25,Settings!$A$21:$A$25,SUMPRODUCT(MAX((Settings!$A$21:$A$25&lt;=$A173)*Settings!$A$21:$A$25))))</f>
      </c>
      <c r="M173" s="32">
        <f>IF($A173="","",L173*IFERROR(INDEX(Settings!$B$30:$B$36,MATCH($B173,Settings!$A$30:$A$36,0)),0))</f>
      </c>
      <c r="N173" s="32">
        <f t="shared" si="11"/>
      </c>
      <c r="O173" s="33">
        <f t="shared" si="12"/>
      </c>
      <c r="P173" s="32">
        <f t="shared" si="13"/>
      </c>
      <c r="Q173" s="33">
        <f t="shared" si="14"/>
      </c>
    </row>
    <row r="174" spans="1:17" x14ac:dyDescent="0.25">
      <c r="A174" s="22"/>
      <c r="B174" s="5"/>
      <c r="C174" s="5"/>
      <c r="D174" s="5"/>
      <c r="E174" s="5"/>
      <c r="F174" s="5"/>
      <c r="G174" s="5"/>
      <c r="H174" s="23"/>
      <c r="I174" s="23"/>
      <c r="J174" s="5"/>
      <c r="K174" s="31">
        <f t="shared" si="10"/>
      </c>
      <c r="L174" s="32">
        <f>IF($A174="","",C174*SUMIFS(Settings!$B$21:$B$25,Settings!$A$21:$A$25,SUMPRODUCT(MAX((Settings!$A$21:$A$25&lt;=$A174)*Settings!$A$21:$A$25)))+D174*SUMIFS(Settings!$C$21:$C$25,Settings!$A$21:$A$25,SUMPRODUCT(MAX((Settings!$A$21:$A$25&lt;=$A174)*Settings!$A$21:$A$25))))</f>
      </c>
      <c r="M174" s="32">
        <f>IF($A174="","",L174*IFERROR(INDEX(Settings!$B$30:$B$36,MATCH($B174,Settings!$A$30:$A$36,0)),0))</f>
      </c>
      <c r="N174" s="32">
        <f t="shared" si="11"/>
      </c>
      <c r="O174" s="33">
        <f t="shared" si="12"/>
      </c>
      <c r="P174" s="32">
        <f t="shared" si="13"/>
      </c>
      <c r="Q174" s="33">
        <f t="shared" si="14"/>
      </c>
    </row>
    <row r="175" spans="1:17" x14ac:dyDescent="0.25">
      <c r="A175" s="22"/>
      <c r="B175" s="5"/>
      <c r="C175" s="5"/>
      <c r="D175" s="5"/>
      <c r="E175" s="5"/>
      <c r="F175" s="5"/>
      <c r="G175" s="5"/>
      <c r="H175" s="23"/>
      <c r="I175" s="23"/>
      <c r="J175" s="5"/>
      <c r="K175" s="31">
        <f t="shared" si="10"/>
      </c>
      <c r="L175" s="32">
        <f>IF($A175="","",C175*SUMIFS(Settings!$B$21:$B$25,Settings!$A$21:$A$25,SUMPRODUCT(MAX((Settings!$A$21:$A$25&lt;=$A175)*Settings!$A$21:$A$25)))+D175*SUMIFS(Settings!$C$21:$C$25,Settings!$A$21:$A$25,SUMPRODUCT(MAX((Settings!$A$21:$A$25&lt;=$A175)*Settings!$A$21:$A$25))))</f>
      </c>
      <c r="M175" s="32">
        <f>IF($A175="","",L175*IFERROR(INDEX(Settings!$B$30:$B$36,MATCH($B175,Settings!$A$30:$A$36,0)),0))</f>
      </c>
      <c r="N175" s="32">
        <f t="shared" si="11"/>
      </c>
      <c r="O175" s="33">
        <f t="shared" si="12"/>
      </c>
      <c r="P175" s="32">
        <f t="shared" si="13"/>
      </c>
      <c r="Q175" s="33">
        <f t="shared" si="14"/>
      </c>
    </row>
    <row r="176" spans="1:17" x14ac:dyDescent="0.25">
      <c r="A176" s="22"/>
      <c r="B176" s="5"/>
      <c r="C176" s="5"/>
      <c r="D176" s="5"/>
      <c r="E176" s="5"/>
      <c r="F176" s="5"/>
      <c r="G176" s="5"/>
      <c r="H176" s="23"/>
      <c r="I176" s="23"/>
      <c r="J176" s="5"/>
      <c r="K176" s="31">
        <f t="shared" si="10"/>
      </c>
      <c r="L176" s="32">
        <f>IF($A176="","",C176*SUMIFS(Settings!$B$21:$B$25,Settings!$A$21:$A$25,SUMPRODUCT(MAX((Settings!$A$21:$A$25&lt;=$A176)*Settings!$A$21:$A$25)))+D176*SUMIFS(Settings!$C$21:$C$25,Settings!$A$21:$A$25,SUMPRODUCT(MAX((Settings!$A$21:$A$25&lt;=$A176)*Settings!$A$21:$A$25))))</f>
      </c>
      <c r="M176" s="32">
        <f>IF($A176="","",L176*IFERROR(INDEX(Settings!$B$30:$B$36,MATCH($B176,Settings!$A$30:$A$36,0)),0))</f>
      </c>
      <c r="N176" s="32">
        <f t="shared" si="11"/>
      </c>
      <c r="O176" s="33">
        <f t="shared" si="12"/>
      </c>
      <c r="P176" s="32">
        <f t="shared" si="13"/>
      </c>
      <c r="Q176" s="33">
        <f t="shared" si="14"/>
      </c>
    </row>
    <row r="177" spans="1:17" x14ac:dyDescent="0.25">
      <c r="A177" s="22"/>
      <c r="B177" s="5"/>
      <c r="C177" s="5"/>
      <c r="D177" s="5"/>
      <c r="E177" s="5"/>
      <c r="F177" s="5"/>
      <c r="G177" s="5"/>
      <c r="H177" s="23"/>
      <c r="I177" s="23"/>
      <c r="J177" s="5"/>
      <c r="K177" s="31">
        <f t="shared" si="10"/>
      </c>
      <c r="L177" s="32">
        <f>IF($A177="","",C177*SUMIFS(Settings!$B$21:$B$25,Settings!$A$21:$A$25,SUMPRODUCT(MAX((Settings!$A$21:$A$25&lt;=$A177)*Settings!$A$21:$A$25)))+D177*SUMIFS(Settings!$C$21:$C$25,Settings!$A$21:$A$25,SUMPRODUCT(MAX((Settings!$A$21:$A$25&lt;=$A177)*Settings!$A$21:$A$25))))</f>
      </c>
      <c r="M177" s="32">
        <f>IF($A177="","",L177*IFERROR(INDEX(Settings!$B$30:$B$36,MATCH($B177,Settings!$A$30:$A$36,0)),0))</f>
      </c>
      <c r="N177" s="32">
        <f t="shared" si="11"/>
      </c>
      <c r="O177" s="33">
        <f t="shared" si="12"/>
      </c>
      <c r="P177" s="32">
        <f t="shared" si="13"/>
      </c>
      <c r="Q177" s="33">
        <f t="shared" si="14"/>
      </c>
    </row>
    <row r="178" spans="1:17" x14ac:dyDescent="0.25">
      <c r="A178" s="22"/>
      <c r="B178" s="5"/>
      <c r="C178" s="5"/>
      <c r="D178" s="5"/>
      <c r="E178" s="5"/>
      <c r="F178" s="5"/>
      <c r="G178" s="5"/>
      <c r="H178" s="23"/>
      <c r="I178" s="23"/>
      <c r="J178" s="5"/>
      <c r="K178" s="31">
        <f t="shared" si="10"/>
      </c>
      <c r="L178" s="32">
        <f>IF($A178="","",C178*SUMIFS(Settings!$B$21:$B$25,Settings!$A$21:$A$25,SUMPRODUCT(MAX((Settings!$A$21:$A$25&lt;=$A178)*Settings!$A$21:$A$25)))+D178*SUMIFS(Settings!$C$21:$C$25,Settings!$A$21:$A$25,SUMPRODUCT(MAX((Settings!$A$21:$A$25&lt;=$A178)*Settings!$A$21:$A$25))))</f>
      </c>
      <c r="M178" s="32">
        <f>IF($A178="","",L178*IFERROR(INDEX(Settings!$B$30:$B$36,MATCH($B178,Settings!$A$30:$A$36,0)),0))</f>
      </c>
      <c r="N178" s="32">
        <f t="shared" si="11"/>
      </c>
      <c r="O178" s="33">
        <f t="shared" si="12"/>
      </c>
      <c r="P178" s="32">
        <f t="shared" si="13"/>
      </c>
      <c r="Q178" s="33">
        <f t="shared" si="14"/>
      </c>
    </row>
    <row r="179" spans="1:17" x14ac:dyDescent="0.25">
      <c r="A179" s="22"/>
      <c r="B179" s="5"/>
      <c r="C179" s="5"/>
      <c r="D179" s="5"/>
      <c r="E179" s="5"/>
      <c r="F179" s="5"/>
      <c r="G179" s="5"/>
      <c r="H179" s="23"/>
      <c r="I179" s="23"/>
      <c r="J179" s="5"/>
      <c r="K179" s="31">
        <f t="shared" si="10"/>
      </c>
      <c r="L179" s="32">
        <f>IF($A179="","",C179*SUMIFS(Settings!$B$21:$B$25,Settings!$A$21:$A$25,SUMPRODUCT(MAX((Settings!$A$21:$A$25&lt;=$A179)*Settings!$A$21:$A$25)))+D179*SUMIFS(Settings!$C$21:$C$25,Settings!$A$21:$A$25,SUMPRODUCT(MAX((Settings!$A$21:$A$25&lt;=$A179)*Settings!$A$21:$A$25))))</f>
      </c>
      <c r="M179" s="32">
        <f>IF($A179="","",L179*IFERROR(INDEX(Settings!$B$30:$B$36,MATCH($B179,Settings!$A$30:$A$36,0)),0))</f>
      </c>
      <c r="N179" s="32">
        <f t="shared" si="11"/>
      </c>
      <c r="O179" s="33">
        <f t="shared" si="12"/>
      </c>
      <c r="P179" s="32">
        <f t="shared" si="13"/>
      </c>
      <c r="Q179" s="33">
        <f t="shared" si="14"/>
      </c>
    </row>
    <row r="180" spans="1:17" x14ac:dyDescent="0.25">
      <c r="A180" s="22"/>
      <c r="B180" s="5"/>
      <c r="C180" s="5"/>
      <c r="D180" s="5"/>
      <c r="E180" s="5"/>
      <c r="F180" s="5"/>
      <c r="G180" s="5"/>
      <c r="H180" s="23"/>
      <c r="I180" s="23"/>
      <c r="J180" s="5"/>
      <c r="K180" s="31">
        <f t="shared" si="10"/>
      </c>
      <c r="L180" s="32">
        <f>IF($A180="","",C180*SUMIFS(Settings!$B$21:$B$25,Settings!$A$21:$A$25,SUMPRODUCT(MAX((Settings!$A$21:$A$25&lt;=$A180)*Settings!$A$21:$A$25)))+D180*SUMIFS(Settings!$C$21:$C$25,Settings!$A$21:$A$25,SUMPRODUCT(MAX((Settings!$A$21:$A$25&lt;=$A180)*Settings!$A$21:$A$25))))</f>
      </c>
      <c r="M180" s="32">
        <f>IF($A180="","",L180*IFERROR(INDEX(Settings!$B$30:$B$36,MATCH($B180,Settings!$A$30:$A$36,0)),0))</f>
      </c>
      <c r="N180" s="32">
        <f t="shared" si="11"/>
      </c>
      <c r="O180" s="33">
        <f t="shared" si="12"/>
      </c>
      <c r="P180" s="32">
        <f t="shared" si="13"/>
      </c>
      <c r="Q180" s="33">
        <f t="shared" si="14"/>
      </c>
    </row>
    <row r="181" spans="1:17" x14ac:dyDescent="0.25">
      <c r="A181" s="22"/>
      <c r="B181" s="5"/>
      <c r="C181" s="5"/>
      <c r="D181" s="5"/>
      <c r="E181" s="5"/>
      <c r="F181" s="5"/>
      <c r="G181" s="5"/>
      <c r="H181" s="23"/>
      <c r="I181" s="23"/>
      <c r="J181" s="5"/>
      <c r="K181" s="31">
        <f t="shared" si="10"/>
      </c>
      <c r="L181" s="32">
        <f>IF($A181="","",C181*SUMIFS(Settings!$B$21:$B$25,Settings!$A$21:$A$25,SUMPRODUCT(MAX((Settings!$A$21:$A$25&lt;=$A181)*Settings!$A$21:$A$25)))+D181*SUMIFS(Settings!$C$21:$C$25,Settings!$A$21:$A$25,SUMPRODUCT(MAX((Settings!$A$21:$A$25&lt;=$A181)*Settings!$A$21:$A$25))))</f>
      </c>
      <c r="M181" s="32">
        <f>IF($A181="","",L181*IFERROR(INDEX(Settings!$B$30:$B$36,MATCH($B181,Settings!$A$30:$A$36,0)),0))</f>
      </c>
      <c r="N181" s="32">
        <f t="shared" si="11"/>
      </c>
      <c r="O181" s="33">
        <f t="shared" si="12"/>
      </c>
      <c r="P181" s="32">
        <f t="shared" si="13"/>
      </c>
      <c r="Q181" s="33">
        <f t="shared" si="14"/>
      </c>
    </row>
    <row r="182" spans="1:17" x14ac:dyDescent="0.25">
      <c r="A182" s="22"/>
      <c r="B182" s="5"/>
      <c r="C182" s="5"/>
      <c r="D182" s="5"/>
      <c r="E182" s="5"/>
      <c r="F182" s="5"/>
      <c r="G182" s="5"/>
      <c r="H182" s="23"/>
      <c r="I182" s="23"/>
      <c r="J182" s="5"/>
      <c r="K182" s="31">
        <f t="shared" si="10"/>
      </c>
      <c r="L182" s="32">
        <f>IF($A182="","",C182*SUMIFS(Settings!$B$21:$B$25,Settings!$A$21:$A$25,SUMPRODUCT(MAX((Settings!$A$21:$A$25&lt;=$A182)*Settings!$A$21:$A$25)))+D182*SUMIFS(Settings!$C$21:$C$25,Settings!$A$21:$A$25,SUMPRODUCT(MAX((Settings!$A$21:$A$25&lt;=$A182)*Settings!$A$21:$A$25))))</f>
      </c>
      <c r="M182" s="32">
        <f>IF($A182="","",L182*IFERROR(INDEX(Settings!$B$30:$B$36,MATCH($B182,Settings!$A$30:$A$36,0)),0))</f>
      </c>
      <c r="N182" s="32">
        <f t="shared" si="11"/>
      </c>
      <c r="O182" s="33">
        <f t="shared" si="12"/>
      </c>
      <c r="P182" s="32">
        <f t="shared" si="13"/>
      </c>
      <c r="Q182" s="33">
        <f t="shared" si="14"/>
      </c>
    </row>
    <row r="183" spans="1:17" x14ac:dyDescent="0.25">
      <c r="A183" s="22"/>
      <c r="B183" s="5"/>
      <c r="C183" s="5"/>
      <c r="D183" s="5"/>
      <c r="E183" s="5"/>
      <c r="F183" s="5"/>
      <c r="G183" s="5"/>
      <c r="H183" s="23"/>
      <c r="I183" s="23"/>
      <c r="J183" s="5"/>
      <c r="K183" s="31">
        <f t="shared" si="10"/>
      </c>
      <c r="L183" s="32">
        <f>IF($A183="","",C183*SUMIFS(Settings!$B$21:$B$25,Settings!$A$21:$A$25,SUMPRODUCT(MAX((Settings!$A$21:$A$25&lt;=$A183)*Settings!$A$21:$A$25)))+D183*SUMIFS(Settings!$C$21:$C$25,Settings!$A$21:$A$25,SUMPRODUCT(MAX((Settings!$A$21:$A$25&lt;=$A183)*Settings!$A$21:$A$25))))</f>
      </c>
      <c r="M183" s="32">
        <f>IF($A183="","",L183*IFERROR(INDEX(Settings!$B$30:$B$36,MATCH($B183,Settings!$A$30:$A$36,0)),0))</f>
      </c>
      <c r="N183" s="32">
        <f t="shared" si="11"/>
      </c>
      <c r="O183" s="33">
        <f t="shared" si="12"/>
      </c>
      <c r="P183" s="32">
        <f t="shared" si="13"/>
      </c>
      <c r="Q183" s="33">
        <f t="shared" si="14"/>
      </c>
    </row>
    <row r="184" spans="1:17" x14ac:dyDescent="0.25">
      <c r="A184" s="22"/>
      <c r="B184" s="5"/>
      <c r="C184" s="5"/>
      <c r="D184" s="5"/>
      <c r="E184" s="5"/>
      <c r="F184" s="5"/>
      <c r="G184" s="5"/>
      <c r="H184" s="23"/>
      <c r="I184" s="23"/>
      <c r="J184" s="5"/>
      <c r="K184" s="31">
        <f t="shared" si="10"/>
      </c>
      <c r="L184" s="32">
        <f>IF($A184="","",C184*SUMIFS(Settings!$B$21:$B$25,Settings!$A$21:$A$25,SUMPRODUCT(MAX((Settings!$A$21:$A$25&lt;=$A184)*Settings!$A$21:$A$25)))+D184*SUMIFS(Settings!$C$21:$C$25,Settings!$A$21:$A$25,SUMPRODUCT(MAX((Settings!$A$21:$A$25&lt;=$A184)*Settings!$A$21:$A$25))))</f>
      </c>
      <c r="M184" s="32">
        <f>IF($A184="","",L184*IFERROR(INDEX(Settings!$B$30:$B$36,MATCH($B184,Settings!$A$30:$A$36,0)),0))</f>
      </c>
      <c r="N184" s="32">
        <f t="shared" si="11"/>
      </c>
      <c r="O184" s="33">
        <f t="shared" si="12"/>
      </c>
      <c r="P184" s="32">
        <f t="shared" si="13"/>
      </c>
      <c r="Q184" s="33">
        <f t="shared" si="14"/>
      </c>
    </row>
    <row r="185" spans="1:17" x14ac:dyDescent="0.25">
      <c r="A185" s="22"/>
      <c r="B185" s="5"/>
      <c r="C185" s="5"/>
      <c r="D185" s="5"/>
      <c r="E185" s="5"/>
      <c r="F185" s="5"/>
      <c r="G185" s="5"/>
      <c r="H185" s="23"/>
      <c r="I185" s="23"/>
      <c r="J185" s="5"/>
      <c r="K185" s="31">
        <f t="shared" si="10"/>
      </c>
      <c r="L185" s="32">
        <f>IF($A185="","",C185*SUMIFS(Settings!$B$21:$B$25,Settings!$A$21:$A$25,SUMPRODUCT(MAX((Settings!$A$21:$A$25&lt;=$A185)*Settings!$A$21:$A$25)))+D185*SUMIFS(Settings!$C$21:$C$25,Settings!$A$21:$A$25,SUMPRODUCT(MAX((Settings!$A$21:$A$25&lt;=$A185)*Settings!$A$21:$A$25))))</f>
      </c>
      <c r="M185" s="32">
        <f>IF($A185="","",L185*IFERROR(INDEX(Settings!$B$30:$B$36,MATCH($B185,Settings!$A$30:$A$36,0)),0))</f>
      </c>
      <c r="N185" s="32">
        <f t="shared" si="11"/>
      </c>
      <c r="O185" s="33">
        <f t="shared" si="12"/>
      </c>
      <c r="P185" s="32">
        <f t="shared" si="13"/>
      </c>
      <c r="Q185" s="33">
        <f t="shared" si="14"/>
      </c>
    </row>
    <row r="186" spans="1:17" x14ac:dyDescent="0.25">
      <c r="A186" s="22"/>
      <c r="B186" s="5"/>
      <c r="C186" s="5"/>
      <c r="D186" s="5"/>
      <c r="E186" s="5"/>
      <c r="F186" s="5"/>
      <c r="G186" s="5"/>
      <c r="H186" s="23"/>
      <c r="I186" s="23"/>
      <c r="J186" s="5"/>
      <c r="K186" s="31">
        <f t="shared" si="10"/>
      </c>
      <c r="L186" s="32">
        <f>IF($A186="","",C186*SUMIFS(Settings!$B$21:$B$25,Settings!$A$21:$A$25,SUMPRODUCT(MAX((Settings!$A$21:$A$25&lt;=$A186)*Settings!$A$21:$A$25)))+D186*SUMIFS(Settings!$C$21:$C$25,Settings!$A$21:$A$25,SUMPRODUCT(MAX((Settings!$A$21:$A$25&lt;=$A186)*Settings!$A$21:$A$25))))</f>
      </c>
      <c r="M186" s="32">
        <f>IF($A186="","",L186*IFERROR(INDEX(Settings!$B$30:$B$36,MATCH($B186,Settings!$A$30:$A$36,0)),0))</f>
      </c>
      <c r="N186" s="32">
        <f t="shared" si="11"/>
      </c>
      <c r="O186" s="33">
        <f t="shared" si="12"/>
      </c>
      <c r="P186" s="32">
        <f t="shared" si="13"/>
      </c>
      <c r="Q186" s="33">
        <f t="shared" si="14"/>
      </c>
    </row>
    <row r="187" spans="1:17" x14ac:dyDescent="0.25">
      <c r="A187" s="22"/>
      <c r="B187" s="5"/>
      <c r="C187" s="5"/>
      <c r="D187" s="5"/>
      <c r="E187" s="5"/>
      <c r="F187" s="5"/>
      <c r="G187" s="5"/>
      <c r="H187" s="23"/>
      <c r="I187" s="23"/>
      <c r="J187" s="5"/>
      <c r="K187" s="31">
        <f t="shared" si="10"/>
      </c>
      <c r="L187" s="32">
        <f>IF($A187="","",C187*SUMIFS(Settings!$B$21:$B$25,Settings!$A$21:$A$25,SUMPRODUCT(MAX((Settings!$A$21:$A$25&lt;=$A187)*Settings!$A$21:$A$25)))+D187*SUMIFS(Settings!$C$21:$C$25,Settings!$A$21:$A$25,SUMPRODUCT(MAX((Settings!$A$21:$A$25&lt;=$A187)*Settings!$A$21:$A$25))))</f>
      </c>
      <c r="M187" s="32">
        <f>IF($A187="","",L187*IFERROR(INDEX(Settings!$B$30:$B$36,MATCH($B187,Settings!$A$30:$A$36,0)),0))</f>
      </c>
      <c r="N187" s="32">
        <f t="shared" si="11"/>
      </c>
      <c r="O187" s="33">
        <f t="shared" si="12"/>
      </c>
      <c r="P187" s="32">
        <f t="shared" si="13"/>
      </c>
      <c r="Q187" s="33">
        <f t="shared" si="14"/>
      </c>
    </row>
    <row r="188" spans="1:17" x14ac:dyDescent="0.25">
      <c r="A188" s="22"/>
      <c r="B188" s="5"/>
      <c r="C188" s="5"/>
      <c r="D188" s="5"/>
      <c r="E188" s="5"/>
      <c r="F188" s="5"/>
      <c r="G188" s="5"/>
      <c r="H188" s="23"/>
      <c r="I188" s="23"/>
      <c r="J188" s="5"/>
      <c r="K188" s="31">
        <f t="shared" si="10"/>
      </c>
      <c r="L188" s="32">
        <f>IF($A188="","",C188*SUMIFS(Settings!$B$21:$B$25,Settings!$A$21:$A$25,SUMPRODUCT(MAX((Settings!$A$21:$A$25&lt;=$A188)*Settings!$A$21:$A$25)))+D188*SUMIFS(Settings!$C$21:$C$25,Settings!$A$21:$A$25,SUMPRODUCT(MAX((Settings!$A$21:$A$25&lt;=$A188)*Settings!$A$21:$A$25))))</f>
      </c>
      <c r="M188" s="32">
        <f>IF($A188="","",L188*IFERROR(INDEX(Settings!$B$30:$B$36,MATCH($B188,Settings!$A$30:$A$36,0)),0))</f>
      </c>
      <c r="N188" s="32">
        <f t="shared" si="11"/>
      </c>
      <c r="O188" s="33">
        <f t="shared" si="12"/>
      </c>
      <c r="P188" s="32">
        <f t="shared" si="13"/>
      </c>
      <c r="Q188" s="33">
        <f t="shared" si="14"/>
      </c>
    </row>
    <row r="189" spans="1:17" x14ac:dyDescent="0.25">
      <c r="A189" s="22"/>
      <c r="B189" s="5"/>
      <c r="C189" s="5"/>
      <c r="D189" s="5"/>
      <c r="E189" s="5"/>
      <c r="F189" s="5"/>
      <c r="G189" s="5"/>
      <c r="H189" s="23"/>
      <c r="I189" s="23"/>
      <c r="J189" s="5"/>
      <c r="K189" s="31">
        <f t="shared" si="10"/>
      </c>
      <c r="L189" s="32">
        <f>IF($A189="","",C189*SUMIFS(Settings!$B$21:$B$25,Settings!$A$21:$A$25,SUMPRODUCT(MAX((Settings!$A$21:$A$25&lt;=$A189)*Settings!$A$21:$A$25)))+D189*SUMIFS(Settings!$C$21:$C$25,Settings!$A$21:$A$25,SUMPRODUCT(MAX((Settings!$A$21:$A$25&lt;=$A189)*Settings!$A$21:$A$25))))</f>
      </c>
      <c r="M189" s="32">
        <f>IF($A189="","",L189*IFERROR(INDEX(Settings!$B$30:$B$36,MATCH($B189,Settings!$A$30:$A$36,0)),0))</f>
      </c>
      <c r="N189" s="32">
        <f t="shared" si="11"/>
      </c>
      <c r="O189" s="33">
        <f t="shared" si="12"/>
      </c>
      <c r="P189" s="32">
        <f t="shared" si="13"/>
      </c>
      <c r="Q189" s="33">
        <f t="shared" si="14"/>
      </c>
    </row>
    <row r="190" spans="1:17" x14ac:dyDescent="0.25">
      <c r="A190" s="22"/>
      <c r="B190" s="5"/>
      <c r="C190" s="5"/>
      <c r="D190" s="5"/>
      <c r="E190" s="5"/>
      <c r="F190" s="5"/>
      <c r="G190" s="5"/>
      <c r="H190" s="23"/>
      <c r="I190" s="23"/>
      <c r="J190" s="5"/>
      <c r="K190" s="31">
        <f t="shared" si="10"/>
      </c>
      <c r="L190" s="32">
        <f>IF($A190="","",C190*SUMIFS(Settings!$B$21:$B$25,Settings!$A$21:$A$25,SUMPRODUCT(MAX((Settings!$A$21:$A$25&lt;=$A190)*Settings!$A$21:$A$25)))+D190*SUMIFS(Settings!$C$21:$C$25,Settings!$A$21:$A$25,SUMPRODUCT(MAX((Settings!$A$21:$A$25&lt;=$A190)*Settings!$A$21:$A$25))))</f>
      </c>
      <c r="M190" s="32">
        <f>IF($A190="","",L190*IFERROR(INDEX(Settings!$B$30:$B$36,MATCH($B190,Settings!$A$30:$A$36,0)),0))</f>
      </c>
      <c r="N190" s="32">
        <f t="shared" si="11"/>
      </c>
      <c r="O190" s="33">
        <f t="shared" si="12"/>
      </c>
      <c r="P190" s="32">
        <f t="shared" si="13"/>
      </c>
      <c r="Q190" s="33">
        <f t="shared" si="14"/>
      </c>
    </row>
    <row r="191" spans="1:17" x14ac:dyDescent="0.25">
      <c r="A191" s="22"/>
      <c r="B191" s="5"/>
      <c r="C191" s="5"/>
      <c r="D191" s="5"/>
      <c r="E191" s="5"/>
      <c r="F191" s="5"/>
      <c r="G191" s="5"/>
      <c r="H191" s="23"/>
      <c r="I191" s="23"/>
      <c r="J191" s="5"/>
      <c r="K191" s="31">
        <f t="shared" si="10"/>
      </c>
      <c r="L191" s="32">
        <f>IF($A191="","",C191*SUMIFS(Settings!$B$21:$B$25,Settings!$A$21:$A$25,SUMPRODUCT(MAX((Settings!$A$21:$A$25&lt;=$A191)*Settings!$A$21:$A$25)))+D191*SUMIFS(Settings!$C$21:$C$25,Settings!$A$21:$A$25,SUMPRODUCT(MAX((Settings!$A$21:$A$25&lt;=$A191)*Settings!$A$21:$A$25))))</f>
      </c>
      <c r="M191" s="32">
        <f>IF($A191="","",L191*IFERROR(INDEX(Settings!$B$30:$B$36,MATCH($B191,Settings!$A$30:$A$36,0)),0))</f>
      </c>
      <c r="N191" s="32">
        <f t="shared" si="11"/>
      </c>
      <c r="O191" s="33">
        <f t="shared" si="12"/>
      </c>
      <c r="P191" s="32">
        <f t="shared" si="13"/>
      </c>
      <c r="Q191" s="33">
        <f t="shared" si="14"/>
      </c>
    </row>
    <row r="192" spans="1:17" x14ac:dyDescent="0.25">
      <c r="A192" s="22"/>
      <c r="B192" s="5"/>
      <c r="C192" s="5"/>
      <c r="D192" s="5"/>
      <c r="E192" s="5"/>
      <c r="F192" s="5"/>
      <c r="G192" s="5"/>
      <c r="H192" s="23"/>
      <c r="I192" s="23"/>
      <c r="J192" s="5"/>
      <c r="K192" s="31">
        <f t="shared" si="10"/>
      </c>
      <c r="L192" s="32">
        <f>IF($A192="","",C192*SUMIFS(Settings!$B$21:$B$25,Settings!$A$21:$A$25,SUMPRODUCT(MAX((Settings!$A$21:$A$25&lt;=$A192)*Settings!$A$21:$A$25)))+D192*SUMIFS(Settings!$C$21:$C$25,Settings!$A$21:$A$25,SUMPRODUCT(MAX((Settings!$A$21:$A$25&lt;=$A192)*Settings!$A$21:$A$25))))</f>
      </c>
      <c r="M192" s="32">
        <f>IF($A192="","",L192*IFERROR(INDEX(Settings!$B$30:$B$36,MATCH($B192,Settings!$A$30:$A$36,0)),0))</f>
      </c>
      <c r="N192" s="32">
        <f t="shared" si="11"/>
      </c>
      <c r="O192" s="33">
        <f t="shared" si="12"/>
      </c>
      <c r="P192" s="32">
        <f t="shared" si="13"/>
      </c>
      <c r="Q192" s="33">
        <f t="shared" si="14"/>
      </c>
    </row>
    <row r="193" spans="1:17" x14ac:dyDescent="0.25">
      <c r="A193" s="22"/>
      <c r="B193" s="5"/>
      <c r="C193" s="5"/>
      <c r="D193" s="5"/>
      <c r="E193" s="5"/>
      <c r="F193" s="5"/>
      <c r="G193" s="5"/>
      <c r="H193" s="23"/>
      <c r="I193" s="23"/>
      <c r="J193" s="5"/>
      <c r="K193" s="31">
        <f t="shared" si="10"/>
      </c>
      <c r="L193" s="32">
        <f>IF($A193="","",C193*SUMIFS(Settings!$B$21:$B$25,Settings!$A$21:$A$25,SUMPRODUCT(MAX((Settings!$A$21:$A$25&lt;=$A193)*Settings!$A$21:$A$25)))+D193*SUMIFS(Settings!$C$21:$C$25,Settings!$A$21:$A$25,SUMPRODUCT(MAX((Settings!$A$21:$A$25&lt;=$A193)*Settings!$A$21:$A$25))))</f>
      </c>
      <c r="M193" s="32">
        <f>IF($A193="","",L193*IFERROR(INDEX(Settings!$B$30:$B$36,MATCH($B193,Settings!$A$30:$A$36,0)),0))</f>
      </c>
      <c r="N193" s="32">
        <f t="shared" si="11"/>
      </c>
      <c r="O193" s="33">
        <f t="shared" si="12"/>
      </c>
      <c r="P193" s="32">
        <f t="shared" si="13"/>
      </c>
      <c r="Q193" s="33">
        <f t="shared" si="14"/>
      </c>
    </row>
    <row r="194" spans="1:17" x14ac:dyDescent="0.25">
      <c r="A194" s="22"/>
      <c r="B194" s="5"/>
      <c r="C194" s="5"/>
      <c r="D194" s="5"/>
      <c r="E194" s="5"/>
      <c r="F194" s="5"/>
      <c r="G194" s="5"/>
      <c r="H194" s="23"/>
      <c r="I194" s="23"/>
      <c r="J194" s="5"/>
      <c r="K194" s="31">
        <f t="shared" si="10"/>
      </c>
      <c r="L194" s="32">
        <f>IF($A194="","",C194*SUMIFS(Settings!$B$21:$B$25,Settings!$A$21:$A$25,SUMPRODUCT(MAX((Settings!$A$21:$A$25&lt;=$A194)*Settings!$A$21:$A$25)))+D194*SUMIFS(Settings!$C$21:$C$25,Settings!$A$21:$A$25,SUMPRODUCT(MAX((Settings!$A$21:$A$25&lt;=$A194)*Settings!$A$21:$A$25))))</f>
      </c>
      <c r="M194" s="32">
        <f>IF($A194="","",L194*IFERROR(INDEX(Settings!$B$30:$B$36,MATCH($B194,Settings!$A$30:$A$36,0)),0))</f>
      </c>
      <c r="N194" s="32">
        <f t="shared" si="11"/>
      </c>
      <c r="O194" s="33">
        <f t="shared" si="12"/>
      </c>
      <c r="P194" s="32">
        <f t="shared" si="13"/>
      </c>
      <c r="Q194" s="33">
        <f t="shared" si="14"/>
      </c>
    </row>
    <row r="195" spans="1:17" x14ac:dyDescent="0.25">
      <c r="A195" s="22"/>
      <c r="B195" s="5"/>
      <c r="C195" s="5"/>
      <c r="D195" s="5"/>
      <c r="E195" s="5"/>
      <c r="F195" s="5"/>
      <c r="G195" s="5"/>
      <c r="H195" s="23"/>
      <c r="I195" s="23"/>
      <c r="J195" s="5"/>
      <c r="K195" s="31">
        <f t="shared" si="10"/>
      </c>
      <c r="L195" s="32">
        <f>IF($A195="","",C195*SUMIFS(Settings!$B$21:$B$25,Settings!$A$21:$A$25,SUMPRODUCT(MAX((Settings!$A$21:$A$25&lt;=$A195)*Settings!$A$21:$A$25)))+D195*SUMIFS(Settings!$C$21:$C$25,Settings!$A$21:$A$25,SUMPRODUCT(MAX((Settings!$A$21:$A$25&lt;=$A195)*Settings!$A$21:$A$25))))</f>
      </c>
      <c r="M195" s="32">
        <f>IF($A195="","",L195*IFERROR(INDEX(Settings!$B$30:$B$36,MATCH($B195,Settings!$A$30:$A$36,0)),0))</f>
      </c>
      <c r="N195" s="32">
        <f t="shared" si="11"/>
      </c>
      <c r="O195" s="33">
        <f t="shared" si="12"/>
      </c>
      <c r="P195" s="32">
        <f t="shared" si="13"/>
      </c>
      <c r="Q195" s="33">
        <f t="shared" si="14"/>
      </c>
    </row>
    <row r="196" spans="1:17" x14ac:dyDescent="0.25">
      <c r="A196" s="22"/>
      <c r="B196" s="5"/>
      <c r="C196" s="5"/>
      <c r="D196" s="5"/>
      <c r="E196" s="5"/>
      <c r="F196" s="5"/>
      <c r="G196" s="5"/>
      <c r="H196" s="23"/>
      <c r="I196" s="23"/>
      <c r="J196" s="5"/>
      <c r="K196" s="31">
        <f t="shared" si="10"/>
      </c>
      <c r="L196" s="32">
        <f>IF($A196="","",C196*SUMIFS(Settings!$B$21:$B$25,Settings!$A$21:$A$25,SUMPRODUCT(MAX((Settings!$A$21:$A$25&lt;=$A196)*Settings!$A$21:$A$25)))+D196*SUMIFS(Settings!$C$21:$C$25,Settings!$A$21:$A$25,SUMPRODUCT(MAX((Settings!$A$21:$A$25&lt;=$A196)*Settings!$A$21:$A$25))))</f>
      </c>
      <c r="M196" s="32">
        <f>IF($A196="","",L196*IFERROR(INDEX(Settings!$B$30:$B$36,MATCH($B196,Settings!$A$30:$A$36,0)),0))</f>
      </c>
      <c r="N196" s="32">
        <f t="shared" si="11"/>
      </c>
      <c r="O196" s="33">
        <f t="shared" si="12"/>
      </c>
      <c r="P196" s="32">
        <f t="shared" si="13"/>
      </c>
      <c r="Q196" s="33">
        <f t="shared" si="14"/>
      </c>
    </row>
    <row r="197" spans="1:17" x14ac:dyDescent="0.25">
      <c r="A197" s="22"/>
      <c r="B197" s="5"/>
      <c r="C197" s="5"/>
      <c r="D197" s="5"/>
      <c r="E197" s="5"/>
      <c r="F197" s="5"/>
      <c r="G197" s="5"/>
      <c r="H197" s="23"/>
      <c r="I197" s="23"/>
      <c r="J197" s="5"/>
      <c r="K197" s="31">
        <f t="shared" si="10"/>
      </c>
      <c r="L197" s="32">
        <f>IF($A197="","",C197*SUMIFS(Settings!$B$21:$B$25,Settings!$A$21:$A$25,SUMPRODUCT(MAX((Settings!$A$21:$A$25&lt;=$A197)*Settings!$A$21:$A$25)))+D197*SUMIFS(Settings!$C$21:$C$25,Settings!$A$21:$A$25,SUMPRODUCT(MAX((Settings!$A$21:$A$25&lt;=$A197)*Settings!$A$21:$A$25))))</f>
      </c>
      <c r="M197" s="32">
        <f>IF($A197="","",L197*IFERROR(INDEX(Settings!$B$30:$B$36,MATCH($B197,Settings!$A$30:$A$36,0)),0))</f>
      </c>
      <c r="N197" s="32">
        <f t="shared" si="11"/>
      </c>
      <c r="O197" s="33">
        <f t="shared" si="12"/>
      </c>
      <c r="P197" s="32">
        <f t="shared" si="13"/>
      </c>
      <c r="Q197" s="33">
        <f t="shared" si="14"/>
      </c>
    </row>
    <row r="198" spans="1:17" x14ac:dyDescent="0.25">
      <c r="A198" s="22"/>
      <c r="B198" s="5"/>
      <c r="C198" s="5"/>
      <c r="D198" s="5"/>
      <c r="E198" s="5"/>
      <c r="F198" s="5"/>
      <c r="G198" s="5"/>
      <c r="H198" s="23"/>
      <c r="I198" s="23"/>
      <c r="J198" s="5"/>
      <c r="K198" s="31">
        <f t="shared" ref="K198:K261" si="15">IF($A198="","",C198+D198)</f>
      </c>
      <c r="L198" s="32">
        <f>IF($A198="","",C198*SUMIFS(Settings!$B$21:$B$25,Settings!$A$21:$A$25,SUMPRODUCT(MAX((Settings!$A$21:$A$25&lt;=$A198)*Settings!$A$21:$A$25)))+D198*SUMIFS(Settings!$C$21:$C$25,Settings!$A$21:$A$25,SUMPRODUCT(MAX((Settings!$A$21:$A$25&lt;=$A198)*Settings!$A$21:$A$25))))</f>
      </c>
      <c r="M198" s="32">
        <f>IF($A198="","",L198*IFERROR(INDEX(Settings!$B$30:$B$36,MATCH($B198,Settings!$A$30:$A$36,0)),0))</f>
      </c>
      <c r="N198" s="32">
        <f t="shared" ref="N198:N261" si="16">IF(OR($A198="",F198="",G198=""),"",(F198-G198)-(K198+E198))</f>
      </c>
      <c r="O198" s="33">
        <f t="shared" ref="O198:O261" si="17">IF(N198="","",IF(N198=0,"OK","CHECK"))</f>
      </c>
      <c r="P198" s="32">
        <f t="shared" ref="P198:P261" si="18">IF(OR($A198="",AND(H198="",I198="")),"",H198+I198-L198)</f>
      </c>
      <c r="Q198" s="33">
        <f t="shared" ref="Q198:Q261" si="19">IF(P198="","",IF(P198=0,"OK","CHECK"))</f>
      </c>
    </row>
    <row r="199" spans="1:17" x14ac:dyDescent="0.25">
      <c r="A199" s="22"/>
      <c r="B199" s="5"/>
      <c r="C199" s="5"/>
      <c r="D199" s="5"/>
      <c r="E199" s="5"/>
      <c r="F199" s="5"/>
      <c r="G199" s="5"/>
      <c r="H199" s="23"/>
      <c r="I199" s="23"/>
      <c r="J199" s="5"/>
      <c r="K199" s="31">
        <f t="shared" si="15"/>
      </c>
      <c r="L199" s="32">
        <f>IF($A199="","",C199*SUMIFS(Settings!$B$21:$B$25,Settings!$A$21:$A$25,SUMPRODUCT(MAX((Settings!$A$21:$A$25&lt;=$A199)*Settings!$A$21:$A$25)))+D199*SUMIFS(Settings!$C$21:$C$25,Settings!$A$21:$A$25,SUMPRODUCT(MAX((Settings!$A$21:$A$25&lt;=$A199)*Settings!$A$21:$A$25))))</f>
      </c>
      <c r="M199" s="32">
        <f>IF($A199="","",L199*IFERROR(INDEX(Settings!$B$30:$B$36,MATCH($B199,Settings!$A$30:$A$36,0)),0))</f>
      </c>
      <c r="N199" s="32">
        <f t="shared" si="16"/>
      </c>
      <c r="O199" s="33">
        <f t="shared" si="17"/>
      </c>
      <c r="P199" s="32">
        <f t="shared" si="18"/>
      </c>
      <c r="Q199" s="33">
        <f t="shared" si="19"/>
      </c>
    </row>
    <row r="200" spans="1:17" x14ac:dyDescent="0.25">
      <c r="A200" s="22"/>
      <c r="B200" s="5"/>
      <c r="C200" s="5"/>
      <c r="D200" s="5"/>
      <c r="E200" s="5"/>
      <c r="F200" s="5"/>
      <c r="G200" s="5"/>
      <c r="H200" s="23"/>
      <c r="I200" s="23"/>
      <c r="J200" s="5"/>
      <c r="K200" s="31">
        <f t="shared" si="15"/>
      </c>
      <c r="L200" s="32">
        <f>IF($A200="","",C200*SUMIFS(Settings!$B$21:$B$25,Settings!$A$21:$A$25,SUMPRODUCT(MAX((Settings!$A$21:$A$25&lt;=$A200)*Settings!$A$21:$A$25)))+D200*SUMIFS(Settings!$C$21:$C$25,Settings!$A$21:$A$25,SUMPRODUCT(MAX((Settings!$A$21:$A$25&lt;=$A200)*Settings!$A$21:$A$25))))</f>
      </c>
      <c r="M200" s="32">
        <f>IF($A200="","",L200*IFERROR(INDEX(Settings!$B$30:$B$36,MATCH($B200,Settings!$A$30:$A$36,0)),0))</f>
      </c>
      <c r="N200" s="32">
        <f t="shared" si="16"/>
      </c>
      <c r="O200" s="33">
        <f t="shared" si="17"/>
      </c>
      <c r="P200" s="32">
        <f t="shared" si="18"/>
      </c>
      <c r="Q200" s="33">
        <f t="shared" si="19"/>
      </c>
    </row>
    <row r="201" spans="1:17" x14ac:dyDescent="0.25">
      <c r="A201" s="22"/>
      <c r="B201" s="5"/>
      <c r="C201" s="5"/>
      <c r="D201" s="5"/>
      <c r="E201" s="5"/>
      <c r="F201" s="5"/>
      <c r="G201" s="5"/>
      <c r="H201" s="23"/>
      <c r="I201" s="23"/>
      <c r="J201" s="5"/>
      <c r="K201" s="31">
        <f t="shared" si="15"/>
      </c>
      <c r="L201" s="32">
        <f>IF($A201="","",C201*SUMIFS(Settings!$B$21:$B$25,Settings!$A$21:$A$25,SUMPRODUCT(MAX((Settings!$A$21:$A$25&lt;=$A201)*Settings!$A$21:$A$25)))+D201*SUMIFS(Settings!$C$21:$C$25,Settings!$A$21:$A$25,SUMPRODUCT(MAX((Settings!$A$21:$A$25&lt;=$A201)*Settings!$A$21:$A$25))))</f>
      </c>
      <c r="M201" s="32">
        <f>IF($A201="","",L201*IFERROR(INDEX(Settings!$B$30:$B$36,MATCH($B201,Settings!$A$30:$A$36,0)),0))</f>
      </c>
      <c r="N201" s="32">
        <f t="shared" si="16"/>
      </c>
      <c r="O201" s="33">
        <f t="shared" si="17"/>
      </c>
      <c r="P201" s="32">
        <f t="shared" si="18"/>
      </c>
      <c r="Q201" s="33">
        <f t="shared" si="19"/>
      </c>
    </row>
    <row r="202" spans="1:17" x14ac:dyDescent="0.25">
      <c r="A202" s="22"/>
      <c r="B202" s="5"/>
      <c r="C202" s="5"/>
      <c r="D202" s="5"/>
      <c r="E202" s="5"/>
      <c r="F202" s="5"/>
      <c r="G202" s="5"/>
      <c r="H202" s="23"/>
      <c r="I202" s="23"/>
      <c r="J202" s="5"/>
      <c r="K202" s="31">
        <f t="shared" si="15"/>
      </c>
      <c r="L202" s="32">
        <f>IF($A202="","",C202*SUMIFS(Settings!$B$21:$B$25,Settings!$A$21:$A$25,SUMPRODUCT(MAX((Settings!$A$21:$A$25&lt;=$A202)*Settings!$A$21:$A$25)))+D202*SUMIFS(Settings!$C$21:$C$25,Settings!$A$21:$A$25,SUMPRODUCT(MAX((Settings!$A$21:$A$25&lt;=$A202)*Settings!$A$21:$A$25))))</f>
      </c>
      <c r="M202" s="32">
        <f>IF($A202="","",L202*IFERROR(INDEX(Settings!$B$30:$B$36,MATCH($B202,Settings!$A$30:$A$36,0)),0))</f>
      </c>
      <c r="N202" s="32">
        <f t="shared" si="16"/>
      </c>
      <c r="O202" s="33">
        <f t="shared" si="17"/>
      </c>
      <c r="P202" s="32">
        <f t="shared" si="18"/>
      </c>
      <c r="Q202" s="33">
        <f t="shared" si="19"/>
      </c>
    </row>
    <row r="203" spans="1:17" x14ac:dyDescent="0.25">
      <c r="A203" s="22"/>
      <c r="B203" s="5"/>
      <c r="C203" s="5"/>
      <c r="D203" s="5"/>
      <c r="E203" s="5"/>
      <c r="F203" s="5"/>
      <c r="G203" s="5"/>
      <c r="H203" s="23"/>
      <c r="I203" s="23"/>
      <c r="J203" s="5"/>
      <c r="K203" s="31">
        <f t="shared" si="15"/>
      </c>
      <c r="L203" s="32">
        <f>IF($A203="","",C203*SUMIFS(Settings!$B$21:$B$25,Settings!$A$21:$A$25,SUMPRODUCT(MAX((Settings!$A$21:$A$25&lt;=$A203)*Settings!$A$21:$A$25)))+D203*SUMIFS(Settings!$C$21:$C$25,Settings!$A$21:$A$25,SUMPRODUCT(MAX((Settings!$A$21:$A$25&lt;=$A203)*Settings!$A$21:$A$25))))</f>
      </c>
      <c r="M203" s="32">
        <f>IF($A203="","",L203*IFERROR(INDEX(Settings!$B$30:$B$36,MATCH($B203,Settings!$A$30:$A$36,0)),0))</f>
      </c>
      <c r="N203" s="32">
        <f t="shared" si="16"/>
      </c>
      <c r="O203" s="33">
        <f t="shared" si="17"/>
      </c>
      <c r="P203" s="32">
        <f t="shared" si="18"/>
      </c>
      <c r="Q203" s="33">
        <f t="shared" si="19"/>
      </c>
    </row>
    <row r="204" spans="1:17" x14ac:dyDescent="0.25">
      <c r="A204" s="22"/>
      <c r="B204" s="5"/>
      <c r="C204" s="5"/>
      <c r="D204" s="5"/>
      <c r="E204" s="5"/>
      <c r="F204" s="5"/>
      <c r="G204" s="5"/>
      <c r="H204" s="23"/>
      <c r="I204" s="23"/>
      <c r="J204" s="5"/>
      <c r="K204" s="31">
        <f t="shared" si="15"/>
      </c>
      <c r="L204" s="32">
        <f>IF($A204="","",C204*SUMIFS(Settings!$B$21:$B$25,Settings!$A$21:$A$25,SUMPRODUCT(MAX((Settings!$A$21:$A$25&lt;=$A204)*Settings!$A$21:$A$25)))+D204*SUMIFS(Settings!$C$21:$C$25,Settings!$A$21:$A$25,SUMPRODUCT(MAX((Settings!$A$21:$A$25&lt;=$A204)*Settings!$A$21:$A$25))))</f>
      </c>
      <c r="M204" s="32">
        <f>IF($A204="","",L204*IFERROR(INDEX(Settings!$B$30:$B$36,MATCH($B204,Settings!$A$30:$A$36,0)),0))</f>
      </c>
      <c r="N204" s="32">
        <f t="shared" si="16"/>
      </c>
      <c r="O204" s="33">
        <f t="shared" si="17"/>
      </c>
      <c r="P204" s="32">
        <f t="shared" si="18"/>
      </c>
      <c r="Q204" s="33">
        <f t="shared" si="19"/>
      </c>
    </row>
    <row r="205" spans="1:17" x14ac:dyDescent="0.25">
      <c r="A205" s="22"/>
      <c r="B205" s="5"/>
      <c r="C205" s="5"/>
      <c r="D205" s="5"/>
      <c r="E205" s="5"/>
      <c r="F205" s="5"/>
      <c r="G205" s="5"/>
      <c r="H205" s="23"/>
      <c r="I205" s="23"/>
      <c r="J205" s="5"/>
      <c r="K205" s="31">
        <f t="shared" si="15"/>
      </c>
      <c r="L205" s="32">
        <f>IF($A205="","",C205*SUMIFS(Settings!$B$21:$B$25,Settings!$A$21:$A$25,SUMPRODUCT(MAX((Settings!$A$21:$A$25&lt;=$A205)*Settings!$A$21:$A$25)))+D205*SUMIFS(Settings!$C$21:$C$25,Settings!$A$21:$A$25,SUMPRODUCT(MAX((Settings!$A$21:$A$25&lt;=$A205)*Settings!$A$21:$A$25))))</f>
      </c>
      <c r="M205" s="32">
        <f>IF($A205="","",L205*IFERROR(INDEX(Settings!$B$30:$B$36,MATCH($B205,Settings!$A$30:$A$36,0)),0))</f>
      </c>
      <c r="N205" s="32">
        <f t="shared" si="16"/>
      </c>
      <c r="O205" s="33">
        <f t="shared" si="17"/>
      </c>
      <c r="P205" s="32">
        <f t="shared" si="18"/>
      </c>
      <c r="Q205" s="33">
        <f t="shared" si="19"/>
      </c>
    </row>
    <row r="206" spans="1:17" x14ac:dyDescent="0.25">
      <c r="A206" s="22"/>
      <c r="B206" s="5"/>
      <c r="C206" s="5"/>
      <c r="D206" s="5"/>
      <c r="E206" s="5"/>
      <c r="F206" s="5"/>
      <c r="G206" s="5"/>
      <c r="H206" s="23"/>
      <c r="I206" s="23"/>
      <c r="J206" s="5"/>
      <c r="K206" s="31">
        <f t="shared" si="15"/>
      </c>
      <c r="L206" s="32">
        <f>IF($A206="","",C206*SUMIFS(Settings!$B$21:$B$25,Settings!$A$21:$A$25,SUMPRODUCT(MAX((Settings!$A$21:$A$25&lt;=$A206)*Settings!$A$21:$A$25)))+D206*SUMIFS(Settings!$C$21:$C$25,Settings!$A$21:$A$25,SUMPRODUCT(MAX((Settings!$A$21:$A$25&lt;=$A206)*Settings!$A$21:$A$25))))</f>
      </c>
      <c r="M206" s="32">
        <f>IF($A206="","",L206*IFERROR(INDEX(Settings!$B$30:$B$36,MATCH($B206,Settings!$A$30:$A$36,0)),0))</f>
      </c>
      <c r="N206" s="32">
        <f t="shared" si="16"/>
      </c>
      <c r="O206" s="33">
        <f t="shared" si="17"/>
      </c>
      <c r="P206" s="32">
        <f t="shared" si="18"/>
      </c>
      <c r="Q206" s="33">
        <f t="shared" si="19"/>
      </c>
    </row>
    <row r="207" spans="1:17" x14ac:dyDescent="0.25">
      <c r="A207" s="22"/>
      <c r="B207" s="5"/>
      <c r="C207" s="5"/>
      <c r="D207" s="5"/>
      <c r="E207" s="5"/>
      <c r="F207" s="5"/>
      <c r="G207" s="5"/>
      <c r="H207" s="23"/>
      <c r="I207" s="23"/>
      <c r="J207" s="5"/>
      <c r="K207" s="31">
        <f t="shared" si="15"/>
      </c>
      <c r="L207" s="32">
        <f>IF($A207="","",C207*SUMIFS(Settings!$B$21:$B$25,Settings!$A$21:$A$25,SUMPRODUCT(MAX((Settings!$A$21:$A$25&lt;=$A207)*Settings!$A$21:$A$25)))+D207*SUMIFS(Settings!$C$21:$C$25,Settings!$A$21:$A$25,SUMPRODUCT(MAX((Settings!$A$21:$A$25&lt;=$A207)*Settings!$A$21:$A$25))))</f>
      </c>
      <c r="M207" s="32">
        <f>IF($A207="","",L207*IFERROR(INDEX(Settings!$B$30:$B$36,MATCH($B207,Settings!$A$30:$A$36,0)),0))</f>
      </c>
      <c r="N207" s="32">
        <f t="shared" si="16"/>
      </c>
      <c r="O207" s="33">
        <f t="shared" si="17"/>
      </c>
      <c r="P207" s="32">
        <f t="shared" si="18"/>
      </c>
      <c r="Q207" s="33">
        <f t="shared" si="19"/>
      </c>
    </row>
    <row r="208" spans="1:17" x14ac:dyDescent="0.25">
      <c r="A208" s="22"/>
      <c r="B208" s="5"/>
      <c r="C208" s="5"/>
      <c r="D208" s="5"/>
      <c r="E208" s="5"/>
      <c r="F208" s="5"/>
      <c r="G208" s="5"/>
      <c r="H208" s="23"/>
      <c r="I208" s="23"/>
      <c r="J208" s="5"/>
      <c r="K208" s="31">
        <f t="shared" si="15"/>
      </c>
      <c r="L208" s="32">
        <f>IF($A208="","",C208*SUMIFS(Settings!$B$21:$B$25,Settings!$A$21:$A$25,SUMPRODUCT(MAX((Settings!$A$21:$A$25&lt;=$A208)*Settings!$A$21:$A$25)))+D208*SUMIFS(Settings!$C$21:$C$25,Settings!$A$21:$A$25,SUMPRODUCT(MAX((Settings!$A$21:$A$25&lt;=$A208)*Settings!$A$21:$A$25))))</f>
      </c>
      <c r="M208" s="32">
        <f>IF($A208="","",L208*IFERROR(INDEX(Settings!$B$30:$B$36,MATCH($B208,Settings!$A$30:$A$36,0)),0))</f>
      </c>
      <c r="N208" s="32">
        <f t="shared" si="16"/>
      </c>
      <c r="O208" s="33">
        <f t="shared" si="17"/>
      </c>
      <c r="P208" s="32">
        <f t="shared" si="18"/>
      </c>
      <c r="Q208" s="33">
        <f t="shared" si="19"/>
      </c>
    </row>
    <row r="209" spans="1:17" x14ac:dyDescent="0.25">
      <c r="A209" s="22"/>
      <c r="B209" s="5"/>
      <c r="C209" s="5"/>
      <c r="D209" s="5"/>
      <c r="E209" s="5"/>
      <c r="F209" s="5"/>
      <c r="G209" s="5"/>
      <c r="H209" s="23"/>
      <c r="I209" s="23"/>
      <c r="J209" s="5"/>
      <c r="K209" s="31">
        <f t="shared" si="15"/>
      </c>
      <c r="L209" s="32">
        <f>IF($A209="","",C209*SUMIFS(Settings!$B$21:$B$25,Settings!$A$21:$A$25,SUMPRODUCT(MAX((Settings!$A$21:$A$25&lt;=$A209)*Settings!$A$21:$A$25)))+D209*SUMIFS(Settings!$C$21:$C$25,Settings!$A$21:$A$25,SUMPRODUCT(MAX((Settings!$A$21:$A$25&lt;=$A209)*Settings!$A$21:$A$25))))</f>
      </c>
      <c r="M209" s="32">
        <f>IF($A209="","",L209*IFERROR(INDEX(Settings!$B$30:$B$36,MATCH($B209,Settings!$A$30:$A$36,0)),0))</f>
      </c>
      <c r="N209" s="32">
        <f t="shared" si="16"/>
      </c>
      <c r="O209" s="33">
        <f t="shared" si="17"/>
      </c>
      <c r="P209" s="32">
        <f t="shared" si="18"/>
      </c>
      <c r="Q209" s="33">
        <f t="shared" si="19"/>
      </c>
    </row>
    <row r="210" spans="1:17" x14ac:dyDescent="0.25">
      <c r="A210" s="22"/>
      <c r="B210" s="5"/>
      <c r="C210" s="5"/>
      <c r="D210" s="5"/>
      <c r="E210" s="5"/>
      <c r="F210" s="5"/>
      <c r="G210" s="5"/>
      <c r="H210" s="23"/>
      <c r="I210" s="23"/>
      <c r="J210" s="5"/>
      <c r="K210" s="31">
        <f t="shared" si="15"/>
      </c>
      <c r="L210" s="32">
        <f>IF($A210="","",C210*SUMIFS(Settings!$B$21:$B$25,Settings!$A$21:$A$25,SUMPRODUCT(MAX((Settings!$A$21:$A$25&lt;=$A210)*Settings!$A$21:$A$25)))+D210*SUMIFS(Settings!$C$21:$C$25,Settings!$A$21:$A$25,SUMPRODUCT(MAX((Settings!$A$21:$A$25&lt;=$A210)*Settings!$A$21:$A$25))))</f>
      </c>
      <c r="M210" s="32">
        <f>IF($A210="","",L210*IFERROR(INDEX(Settings!$B$30:$B$36,MATCH($B210,Settings!$A$30:$A$36,0)),0))</f>
      </c>
      <c r="N210" s="32">
        <f t="shared" si="16"/>
      </c>
      <c r="O210" s="33">
        <f t="shared" si="17"/>
      </c>
      <c r="P210" s="32">
        <f t="shared" si="18"/>
      </c>
      <c r="Q210" s="33">
        <f t="shared" si="19"/>
      </c>
    </row>
    <row r="211" spans="1:17" x14ac:dyDescent="0.25">
      <c r="A211" s="22"/>
      <c r="B211" s="5"/>
      <c r="C211" s="5"/>
      <c r="D211" s="5"/>
      <c r="E211" s="5"/>
      <c r="F211" s="5"/>
      <c r="G211" s="5"/>
      <c r="H211" s="23"/>
      <c r="I211" s="23"/>
      <c r="J211" s="5"/>
      <c r="K211" s="31">
        <f t="shared" si="15"/>
      </c>
      <c r="L211" s="32">
        <f>IF($A211="","",C211*SUMIFS(Settings!$B$21:$B$25,Settings!$A$21:$A$25,SUMPRODUCT(MAX((Settings!$A$21:$A$25&lt;=$A211)*Settings!$A$21:$A$25)))+D211*SUMIFS(Settings!$C$21:$C$25,Settings!$A$21:$A$25,SUMPRODUCT(MAX((Settings!$A$21:$A$25&lt;=$A211)*Settings!$A$21:$A$25))))</f>
      </c>
      <c r="M211" s="32">
        <f>IF($A211="","",L211*IFERROR(INDEX(Settings!$B$30:$B$36,MATCH($B211,Settings!$A$30:$A$36,0)),0))</f>
      </c>
      <c r="N211" s="32">
        <f t="shared" si="16"/>
      </c>
      <c r="O211" s="33">
        <f t="shared" si="17"/>
      </c>
      <c r="P211" s="32">
        <f t="shared" si="18"/>
      </c>
      <c r="Q211" s="33">
        <f t="shared" si="19"/>
      </c>
    </row>
    <row r="212" spans="1:17" x14ac:dyDescent="0.25">
      <c r="A212" s="22"/>
      <c r="B212" s="5"/>
      <c r="C212" s="5"/>
      <c r="D212" s="5"/>
      <c r="E212" s="5"/>
      <c r="F212" s="5"/>
      <c r="G212" s="5"/>
      <c r="H212" s="23"/>
      <c r="I212" s="23"/>
      <c r="J212" s="5"/>
      <c r="K212" s="31">
        <f t="shared" si="15"/>
      </c>
      <c r="L212" s="32">
        <f>IF($A212="","",C212*SUMIFS(Settings!$B$21:$B$25,Settings!$A$21:$A$25,SUMPRODUCT(MAX((Settings!$A$21:$A$25&lt;=$A212)*Settings!$A$21:$A$25)))+D212*SUMIFS(Settings!$C$21:$C$25,Settings!$A$21:$A$25,SUMPRODUCT(MAX((Settings!$A$21:$A$25&lt;=$A212)*Settings!$A$21:$A$25))))</f>
      </c>
      <c r="M212" s="32">
        <f>IF($A212="","",L212*IFERROR(INDEX(Settings!$B$30:$B$36,MATCH($B212,Settings!$A$30:$A$36,0)),0))</f>
      </c>
      <c r="N212" s="32">
        <f t="shared" si="16"/>
      </c>
      <c r="O212" s="33">
        <f t="shared" si="17"/>
      </c>
      <c r="P212" s="32">
        <f t="shared" si="18"/>
      </c>
      <c r="Q212" s="33">
        <f t="shared" si="19"/>
      </c>
    </row>
    <row r="213" spans="1:17" x14ac:dyDescent="0.25">
      <c r="A213" s="22"/>
      <c r="B213" s="5"/>
      <c r="C213" s="5"/>
      <c r="D213" s="5"/>
      <c r="E213" s="5"/>
      <c r="F213" s="5"/>
      <c r="G213" s="5"/>
      <c r="H213" s="23"/>
      <c r="I213" s="23"/>
      <c r="J213" s="5"/>
      <c r="K213" s="31">
        <f t="shared" si="15"/>
      </c>
      <c r="L213" s="32">
        <f>IF($A213="","",C213*SUMIFS(Settings!$B$21:$B$25,Settings!$A$21:$A$25,SUMPRODUCT(MAX((Settings!$A$21:$A$25&lt;=$A213)*Settings!$A$21:$A$25)))+D213*SUMIFS(Settings!$C$21:$C$25,Settings!$A$21:$A$25,SUMPRODUCT(MAX((Settings!$A$21:$A$25&lt;=$A213)*Settings!$A$21:$A$25))))</f>
      </c>
      <c r="M213" s="32">
        <f>IF($A213="","",L213*IFERROR(INDEX(Settings!$B$30:$B$36,MATCH($B213,Settings!$A$30:$A$36,0)),0))</f>
      </c>
      <c r="N213" s="32">
        <f t="shared" si="16"/>
      </c>
      <c r="O213" s="33">
        <f t="shared" si="17"/>
      </c>
      <c r="P213" s="32">
        <f t="shared" si="18"/>
      </c>
      <c r="Q213" s="33">
        <f t="shared" si="19"/>
      </c>
    </row>
    <row r="214" spans="1:17" x14ac:dyDescent="0.25">
      <c r="A214" s="22"/>
      <c r="B214" s="5"/>
      <c r="C214" s="5"/>
      <c r="D214" s="5"/>
      <c r="E214" s="5"/>
      <c r="F214" s="5"/>
      <c r="G214" s="5"/>
      <c r="H214" s="23"/>
      <c r="I214" s="23"/>
      <c r="J214" s="5"/>
      <c r="K214" s="31">
        <f t="shared" si="15"/>
      </c>
      <c r="L214" s="32">
        <f>IF($A214="","",C214*SUMIFS(Settings!$B$21:$B$25,Settings!$A$21:$A$25,SUMPRODUCT(MAX((Settings!$A$21:$A$25&lt;=$A214)*Settings!$A$21:$A$25)))+D214*SUMIFS(Settings!$C$21:$C$25,Settings!$A$21:$A$25,SUMPRODUCT(MAX((Settings!$A$21:$A$25&lt;=$A214)*Settings!$A$21:$A$25))))</f>
      </c>
      <c r="M214" s="32">
        <f>IF($A214="","",L214*IFERROR(INDEX(Settings!$B$30:$B$36,MATCH($B214,Settings!$A$30:$A$36,0)),0))</f>
      </c>
      <c r="N214" s="32">
        <f t="shared" si="16"/>
      </c>
      <c r="O214" s="33">
        <f t="shared" si="17"/>
      </c>
      <c r="P214" s="32">
        <f t="shared" si="18"/>
      </c>
      <c r="Q214" s="33">
        <f t="shared" si="19"/>
      </c>
    </row>
    <row r="215" spans="1:17" x14ac:dyDescent="0.25">
      <c r="A215" s="22"/>
      <c r="B215" s="5"/>
      <c r="C215" s="5"/>
      <c r="D215" s="5"/>
      <c r="E215" s="5"/>
      <c r="F215" s="5"/>
      <c r="G215" s="5"/>
      <c r="H215" s="23"/>
      <c r="I215" s="23"/>
      <c r="J215" s="5"/>
      <c r="K215" s="31">
        <f t="shared" si="15"/>
      </c>
      <c r="L215" s="32">
        <f>IF($A215="","",C215*SUMIFS(Settings!$B$21:$B$25,Settings!$A$21:$A$25,SUMPRODUCT(MAX((Settings!$A$21:$A$25&lt;=$A215)*Settings!$A$21:$A$25)))+D215*SUMIFS(Settings!$C$21:$C$25,Settings!$A$21:$A$25,SUMPRODUCT(MAX((Settings!$A$21:$A$25&lt;=$A215)*Settings!$A$21:$A$25))))</f>
      </c>
      <c r="M215" s="32">
        <f>IF($A215="","",L215*IFERROR(INDEX(Settings!$B$30:$B$36,MATCH($B215,Settings!$A$30:$A$36,0)),0))</f>
      </c>
      <c r="N215" s="32">
        <f t="shared" si="16"/>
      </c>
      <c r="O215" s="33">
        <f t="shared" si="17"/>
      </c>
      <c r="P215" s="32">
        <f t="shared" si="18"/>
      </c>
      <c r="Q215" s="33">
        <f t="shared" si="19"/>
      </c>
    </row>
    <row r="216" spans="1:17" x14ac:dyDescent="0.25">
      <c r="A216" s="22"/>
      <c r="B216" s="5"/>
      <c r="C216" s="5"/>
      <c r="D216" s="5"/>
      <c r="E216" s="5"/>
      <c r="F216" s="5"/>
      <c r="G216" s="5"/>
      <c r="H216" s="23"/>
      <c r="I216" s="23"/>
      <c r="J216" s="5"/>
      <c r="K216" s="31">
        <f t="shared" si="15"/>
      </c>
      <c r="L216" s="32">
        <f>IF($A216="","",C216*SUMIFS(Settings!$B$21:$B$25,Settings!$A$21:$A$25,SUMPRODUCT(MAX((Settings!$A$21:$A$25&lt;=$A216)*Settings!$A$21:$A$25)))+D216*SUMIFS(Settings!$C$21:$C$25,Settings!$A$21:$A$25,SUMPRODUCT(MAX((Settings!$A$21:$A$25&lt;=$A216)*Settings!$A$21:$A$25))))</f>
      </c>
      <c r="M216" s="32">
        <f>IF($A216="","",L216*IFERROR(INDEX(Settings!$B$30:$B$36,MATCH($B216,Settings!$A$30:$A$36,0)),0))</f>
      </c>
      <c r="N216" s="32">
        <f t="shared" si="16"/>
      </c>
      <c r="O216" s="33">
        <f t="shared" si="17"/>
      </c>
      <c r="P216" s="32">
        <f t="shared" si="18"/>
      </c>
      <c r="Q216" s="33">
        <f t="shared" si="19"/>
      </c>
    </row>
    <row r="217" spans="1:17" x14ac:dyDescent="0.25">
      <c r="A217" s="22"/>
      <c r="B217" s="5"/>
      <c r="C217" s="5"/>
      <c r="D217" s="5"/>
      <c r="E217" s="5"/>
      <c r="F217" s="5"/>
      <c r="G217" s="5"/>
      <c r="H217" s="23"/>
      <c r="I217" s="23"/>
      <c r="J217" s="5"/>
      <c r="K217" s="31">
        <f t="shared" si="15"/>
      </c>
      <c r="L217" s="32">
        <f>IF($A217="","",C217*SUMIFS(Settings!$B$21:$B$25,Settings!$A$21:$A$25,SUMPRODUCT(MAX((Settings!$A$21:$A$25&lt;=$A217)*Settings!$A$21:$A$25)))+D217*SUMIFS(Settings!$C$21:$C$25,Settings!$A$21:$A$25,SUMPRODUCT(MAX((Settings!$A$21:$A$25&lt;=$A217)*Settings!$A$21:$A$25))))</f>
      </c>
      <c r="M217" s="32">
        <f>IF($A217="","",L217*IFERROR(INDEX(Settings!$B$30:$B$36,MATCH($B217,Settings!$A$30:$A$36,0)),0))</f>
      </c>
      <c r="N217" s="32">
        <f t="shared" si="16"/>
      </c>
      <c r="O217" s="33">
        <f t="shared" si="17"/>
      </c>
      <c r="P217" s="32">
        <f t="shared" si="18"/>
      </c>
      <c r="Q217" s="33">
        <f t="shared" si="19"/>
      </c>
    </row>
    <row r="218" spans="1:17" x14ac:dyDescent="0.25">
      <c r="A218" s="22"/>
      <c r="B218" s="5"/>
      <c r="C218" s="5"/>
      <c r="D218" s="5"/>
      <c r="E218" s="5"/>
      <c r="F218" s="5"/>
      <c r="G218" s="5"/>
      <c r="H218" s="23"/>
      <c r="I218" s="23"/>
      <c r="J218" s="5"/>
      <c r="K218" s="31">
        <f t="shared" si="15"/>
      </c>
      <c r="L218" s="32">
        <f>IF($A218="","",C218*SUMIFS(Settings!$B$21:$B$25,Settings!$A$21:$A$25,SUMPRODUCT(MAX((Settings!$A$21:$A$25&lt;=$A218)*Settings!$A$21:$A$25)))+D218*SUMIFS(Settings!$C$21:$C$25,Settings!$A$21:$A$25,SUMPRODUCT(MAX((Settings!$A$21:$A$25&lt;=$A218)*Settings!$A$21:$A$25))))</f>
      </c>
      <c r="M218" s="32">
        <f>IF($A218="","",L218*IFERROR(INDEX(Settings!$B$30:$B$36,MATCH($B218,Settings!$A$30:$A$36,0)),0))</f>
      </c>
      <c r="N218" s="32">
        <f t="shared" si="16"/>
      </c>
      <c r="O218" s="33">
        <f t="shared" si="17"/>
      </c>
      <c r="P218" s="32">
        <f t="shared" si="18"/>
      </c>
      <c r="Q218" s="33">
        <f t="shared" si="19"/>
      </c>
    </row>
    <row r="219" spans="1:17" x14ac:dyDescent="0.25">
      <c r="A219" s="22"/>
      <c r="B219" s="5"/>
      <c r="C219" s="5"/>
      <c r="D219" s="5"/>
      <c r="E219" s="5"/>
      <c r="F219" s="5"/>
      <c r="G219" s="5"/>
      <c r="H219" s="23"/>
      <c r="I219" s="23"/>
      <c r="J219" s="5"/>
      <c r="K219" s="31">
        <f t="shared" si="15"/>
      </c>
      <c r="L219" s="32">
        <f>IF($A219="","",C219*SUMIFS(Settings!$B$21:$B$25,Settings!$A$21:$A$25,SUMPRODUCT(MAX((Settings!$A$21:$A$25&lt;=$A219)*Settings!$A$21:$A$25)))+D219*SUMIFS(Settings!$C$21:$C$25,Settings!$A$21:$A$25,SUMPRODUCT(MAX((Settings!$A$21:$A$25&lt;=$A219)*Settings!$A$21:$A$25))))</f>
      </c>
      <c r="M219" s="32">
        <f>IF($A219="","",L219*IFERROR(INDEX(Settings!$B$30:$B$36,MATCH($B219,Settings!$A$30:$A$36,0)),0))</f>
      </c>
      <c r="N219" s="32">
        <f t="shared" si="16"/>
      </c>
      <c r="O219" s="33">
        <f t="shared" si="17"/>
      </c>
      <c r="P219" s="32">
        <f t="shared" si="18"/>
      </c>
      <c r="Q219" s="33">
        <f t="shared" si="19"/>
      </c>
    </row>
    <row r="220" spans="1:17" x14ac:dyDescent="0.25">
      <c r="A220" s="22"/>
      <c r="B220" s="5"/>
      <c r="C220" s="5"/>
      <c r="D220" s="5"/>
      <c r="E220" s="5"/>
      <c r="F220" s="5"/>
      <c r="G220" s="5"/>
      <c r="H220" s="23"/>
      <c r="I220" s="23"/>
      <c r="J220" s="5"/>
      <c r="K220" s="31">
        <f t="shared" si="15"/>
      </c>
      <c r="L220" s="32">
        <f>IF($A220="","",C220*SUMIFS(Settings!$B$21:$B$25,Settings!$A$21:$A$25,SUMPRODUCT(MAX((Settings!$A$21:$A$25&lt;=$A220)*Settings!$A$21:$A$25)))+D220*SUMIFS(Settings!$C$21:$C$25,Settings!$A$21:$A$25,SUMPRODUCT(MAX((Settings!$A$21:$A$25&lt;=$A220)*Settings!$A$21:$A$25))))</f>
      </c>
      <c r="M220" s="32">
        <f>IF($A220="","",L220*IFERROR(INDEX(Settings!$B$30:$B$36,MATCH($B220,Settings!$A$30:$A$36,0)),0))</f>
      </c>
      <c r="N220" s="32">
        <f t="shared" si="16"/>
      </c>
      <c r="O220" s="33">
        <f t="shared" si="17"/>
      </c>
      <c r="P220" s="32">
        <f t="shared" si="18"/>
      </c>
      <c r="Q220" s="33">
        <f t="shared" si="19"/>
      </c>
    </row>
    <row r="221" spans="1:17" x14ac:dyDescent="0.25">
      <c r="A221" s="22"/>
      <c r="B221" s="5"/>
      <c r="C221" s="5"/>
      <c r="D221" s="5"/>
      <c r="E221" s="5"/>
      <c r="F221" s="5"/>
      <c r="G221" s="5"/>
      <c r="H221" s="23"/>
      <c r="I221" s="23"/>
      <c r="J221" s="5"/>
      <c r="K221" s="31">
        <f t="shared" si="15"/>
      </c>
      <c r="L221" s="32">
        <f>IF($A221="","",C221*SUMIFS(Settings!$B$21:$B$25,Settings!$A$21:$A$25,SUMPRODUCT(MAX((Settings!$A$21:$A$25&lt;=$A221)*Settings!$A$21:$A$25)))+D221*SUMIFS(Settings!$C$21:$C$25,Settings!$A$21:$A$25,SUMPRODUCT(MAX((Settings!$A$21:$A$25&lt;=$A221)*Settings!$A$21:$A$25))))</f>
      </c>
      <c r="M221" s="32">
        <f>IF($A221="","",L221*IFERROR(INDEX(Settings!$B$30:$B$36,MATCH($B221,Settings!$A$30:$A$36,0)),0))</f>
      </c>
      <c r="N221" s="32">
        <f t="shared" si="16"/>
      </c>
      <c r="O221" s="33">
        <f t="shared" si="17"/>
      </c>
      <c r="P221" s="32">
        <f t="shared" si="18"/>
      </c>
      <c r="Q221" s="33">
        <f t="shared" si="19"/>
      </c>
    </row>
    <row r="222" spans="1:17" x14ac:dyDescent="0.25">
      <c r="A222" s="22"/>
      <c r="B222" s="5"/>
      <c r="C222" s="5"/>
      <c r="D222" s="5"/>
      <c r="E222" s="5"/>
      <c r="F222" s="5"/>
      <c r="G222" s="5"/>
      <c r="H222" s="23"/>
      <c r="I222" s="23"/>
      <c r="J222" s="5"/>
      <c r="K222" s="31">
        <f t="shared" si="15"/>
      </c>
      <c r="L222" s="32">
        <f>IF($A222="","",C222*SUMIFS(Settings!$B$21:$B$25,Settings!$A$21:$A$25,SUMPRODUCT(MAX((Settings!$A$21:$A$25&lt;=$A222)*Settings!$A$21:$A$25)))+D222*SUMIFS(Settings!$C$21:$C$25,Settings!$A$21:$A$25,SUMPRODUCT(MAX((Settings!$A$21:$A$25&lt;=$A222)*Settings!$A$21:$A$25))))</f>
      </c>
      <c r="M222" s="32">
        <f>IF($A222="","",L222*IFERROR(INDEX(Settings!$B$30:$B$36,MATCH($B222,Settings!$A$30:$A$36,0)),0))</f>
      </c>
      <c r="N222" s="32">
        <f t="shared" si="16"/>
      </c>
      <c r="O222" s="33">
        <f t="shared" si="17"/>
      </c>
      <c r="P222" s="32">
        <f t="shared" si="18"/>
      </c>
      <c r="Q222" s="33">
        <f t="shared" si="19"/>
      </c>
    </row>
    <row r="223" spans="1:17" x14ac:dyDescent="0.25">
      <c r="A223" s="22"/>
      <c r="B223" s="5"/>
      <c r="C223" s="5"/>
      <c r="D223" s="5"/>
      <c r="E223" s="5"/>
      <c r="F223" s="5"/>
      <c r="G223" s="5"/>
      <c r="H223" s="23"/>
      <c r="I223" s="23"/>
      <c r="J223" s="5"/>
      <c r="K223" s="31">
        <f t="shared" si="15"/>
      </c>
      <c r="L223" s="32">
        <f>IF($A223="","",C223*SUMIFS(Settings!$B$21:$B$25,Settings!$A$21:$A$25,SUMPRODUCT(MAX((Settings!$A$21:$A$25&lt;=$A223)*Settings!$A$21:$A$25)))+D223*SUMIFS(Settings!$C$21:$C$25,Settings!$A$21:$A$25,SUMPRODUCT(MAX((Settings!$A$21:$A$25&lt;=$A223)*Settings!$A$21:$A$25))))</f>
      </c>
      <c r="M223" s="32">
        <f>IF($A223="","",L223*IFERROR(INDEX(Settings!$B$30:$B$36,MATCH($B223,Settings!$A$30:$A$36,0)),0))</f>
      </c>
      <c r="N223" s="32">
        <f t="shared" si="16"/>
      </c>
      <c r="O223" s="33">
        <f t="shared" si="17"/>
      </c>
      <c r="P223" s="32">
        <f t="shared" si="18"/>
      </c>
      <c r="Q223" s="33">
        <f t="shared" si="19"/>
      </c>
    </row>
    <row r="224" spans="1:17" x14ac:dyDescent="0.25">
      <c r="A224" s="22"/>
      <c r="B224" s="5"/>
      <c r="C224" s="5"/>
      <c r="D224" s="5"/>
      <c r="E224" s="5"/>
      <c r="F224" s="5"/>
      <c r="G224" s="5"/>
      <c r="H224" s="23"/>
      <c r="I224" s="23"/>
      <c r="J224" s="5"/>
      <c r="K224" s="31">
        <f t="shared" si="15"/>
      </c>
      <c r="L224" s="32">
        <f>IF($A224="","",C224*SUMIFS(Settings!$B$21:$B$25,Settings!$A$21:$A$25,SUMPRODUCT(MAX((Settings!$A$21:$A$25&lt;=$A224)*Settings!$A$21:$A$25)))+D224*SUMIFS(Settings!$C$21:$C$25,Settings!$A$21:$A$25,SUMPRODUCT(MAX((Settings!$A$21:$A$25&lt;=$A224)*Settings!$A$21:$A$25))))</f>
      </c>
      <c r="M224" s="32">
        <f>IF($A224="","",L224*IFERROR(INDEX(Settings!$B$30:$B$36,MATCH($B224,Settings!$A$30:$A$36,0)),0))</f>
      </c>
      <c r="N224" s="32">
        <f t="shared" si="16"/>
      </c>
      <c r="O224" s="33">
        <f t="shared" si="17"/>
      </c>
      <c r="P224" s="32">
        <f t="shared" si="18"/>
      </c>
      <c r="Q224" s="33">
        <f t="shared" si="19"/>
      </c>
    </row>
    <row r="225" spans="1:17" x14ac:dyDescent="0.25">
      <c r="A225" s="22"/>
      <c r="B225" s="5"/>
      <c r="C225" s="5"/>
      <c r="D225" s="5"/>
      <c r="E225" s="5"/>
      <c r="F225" s="5"/>
      <c r="G225" s="5"/>
      <c r="H225" s="23"/>
      <c r="I225" s="23"/>
      <c r="J225" s="5"/>
      <c r="K225" s="31">
        <f t="shared" si="15"/>
      </c>
      <c r="L225" s="32">
        <f>IF($A225="","",C225*SUMIFS(Settings!$B$21:$B$25,Settings!$A$21:$A$25,SUMPRODUCT(MAX((Settings!$A$21:$A$25&lt;=$A225)*Settings!$A$21:$A$25)))+D225*SUMIFS(Settings!$C$21:$C$25,Settings!$A$21:$A$25,SUMPRODUCT(MAX((Settings!$A$21:$A$25&lt;=$A225)*Settings!$A$21:$A$25))))</f>
      </c>
      <c r="M225" s="32">
        <f>IF($A225="","",L225*IFERROR(INDEX(Settings!$B$30:$B$36,MATCH($B225,Settings!$A$30:$A$36,0)),0))</f>
      </c>
      <c r="N225" s="32">
        <f t="shared" si="16"/>
      </c>
      <c r="O225" s="33">
        <f t="shared" si="17"/>
      </c>
      <c r="P225" s="32">
        <f t="shared" si="18"/>
      </c>
      <c r="Q225" s="33">
        <f t="shared" si="19"/>
      </c>
    </row>
    <row r="226" spans="1:17" x14ac:dyDescent="0.25">
      <c r="A226" s="22"/>
      <c r="B226" s="5"/>
      <c r="C226" s="5"/>
      <c r="D226" s="5"/>
      <c r="E226" s="5"/>
      <c r="F226" s="5"/>
      <c r="G226" s="5"/>
      <c r="H226" s="23"/>
      <c r="I226" s="23"/>
      <c r="J226" s="5"/>
      <c r="K226" s="31">
        <f t="shared" si="15"/>
      </c>
      <c r="L226" s="32">
        <f>IF($A226="","",C226*SUMIFS(Settings!$B$21:$B$25,Settings!$A$21:$A$25,SUMPRODUCT(MAX((Settings!$A$21:$A$25&lt;=$A226)*Settings!$A$21:$A$25)))+D226*SUMIFS(Settings!$C$21:$C$25,Settings!$A$21:$A$25,SUMPRODUCT(MAX((Settings!$A$21:$A$25&lt;=$A226)*Settings!$A$21:$A$25))))</f>
      </c>
      <c r="M226" s="32">
        <f>IF($A226="","",L226*IFERROR(INDEX(Settings!$B$30:$B$36,MATCH($B226,Settings!$A$30:$A$36,0)),0))</f>
      </c>
      <c r="N226" s="32">
        <f t="shared" si="16"/>
      </c>
      <c r="O226" s="33">
        <f t="shared" si="17"/>
      </c>
      <c r="P226" s="32">
        <f t="shared" si="18"/>
      </c>
      <c r="Q226" s="33">
        <f t="shared" si="19"/>
      </c>
    </row>
    <row r="227" spans="1:17" x14ac:dyDescent="0.25">
      <c r="A227" s="22"/>
      <c r="B227" s="5"/>
      <c r="C227" s="5"/>
      <c r="D227" s="5"/>
      <c r="E227" s="5"/>
      <c r="F227" s="5"/>
      <c r="G227" s="5"/>
      <c r="H227" s="23"/>
      <c r="I227" s="23"/>
      <c r="J227" s="5"/>
      <c r="K227" s="31">
        <f t="shared" si="15"/>
      </c>
      <c r="L227" s="32">
        <f>IF($A227="","",C227*SUMIFS(Settings!$B$21:$B$25,Settings!$A$21:$A$25,SUMPRODUCT(MAX((Settings!$A$21:$A$25&lt;=$A227)*Settings!$A$21:$A$25)))+D227*SUMIFS(Settings!$C$21:$C$25,Settings!$A$21:$A$25,SUMPRODUCT(MAX((Settings!$A$21:$A$25&lt;=$A227)*Settings!$A$21:$A$25))))</f>
      </c>
      <c r="M227" s="32">
        <f>IF($A227="","",L227*IFERROR(INDEX(Settings!$B$30:$B$36,MATCH($B227,Settings!$A$30:$A$36,0)),0))</f>
      </c>
      <c r="N227" s="32">
        <f t="shared" si="16"/>
      </c>
      <c r="O227" s="33">
        <f t="shared" si="17"/>
      </c>
      <c r="P227" s="32">
        <f t="shared" si="18"/>
      </c>
      <c r="Q227" s="33">
        <f t="shared" si="19"/>
      </c>
    </row>
    <row r="228" spans="1:17" x14ac:dyDescent="0.25">
      <c r="A228" s="22"/>
      <c r="B228" s="5"/>
      <c r="C228" s="5"/>
      <c r="D228" s="5"/>
      <c r="E228" s="5"/>
      <c r="F228" s="5"/>
      <c r="G228" s="5"/>
      <c r="H228" s="23"/>
      <c r="I228" s="23"/>
      <c r="J228" s="5"/>
      <c r="K228" s="31">
        <f t="shared" si="15"/>
      </c>
      <c r="L228" s="32">
        <f>IF($A228="","",C228*SUMIFS(Settings!$B$21:$B$25,Settings!$A$21:$A$25,SUMPRODUCT(MAX((Settings!$A$21:$A$25&lt;=$A228)*Settings!$A$21:$A$25)))+D228*SUMIFS(Settings!$C$21:$C$25,Settings!$A$21:$A$25,SUMPRODUCT(MAX((Settings!$A$21:$A$25&lt;=$A228)*Settings!$A$21:$A$25))))</f>
      </c>
      <c r="M228" s="32">
        <f>IF($A228="","",L228*IFERROR(INDEX(Settings!$B$30:$B$36,MATCH($B228,Settings!$A$30:$A$36,0)),0))</f>
      </c>
      <c r="N228" s="32">
        <f t="shared" si="16"/>
      </c>
      <c r="O228" s="33">
        <f t="shared" si="17"/>
      </c>
      <c r="P228" s="32">
        <f t="shared" si="18"/>
      </c>
      <c r="Q228" s="33">
        <f t="shared" si="19"/>
      </c>
    </row>
    <row r="229" spans="1:17" x14ac:dyDescent="0.25">
      <c r="A229" s="22"/>
      <c r="B229" s="5"/>
      <c r="C229" s="5"/>
      <c r="D229" s="5"/>
      <c r="E229" s="5"/>
      <c r="F229" s="5"/>
      <c r="G229" s="5"/>
      <c r="H229" s="23"/>
      <c r="I229" s="23"/>
      <c r="J229" s="5"/>
      <c r="K229" s="31">
        <f t="shared" si="15"/>
      </c>
      <c r="L229" s="32">
        <f>IF($A229="","",C229*SUMIFS(Settings!$B$21:$B$25,Settings!$A$21:$A$25,SUMPRODUCT(MAX((Settings!$A$21:$A$25&lt;=$A229)*Settings!$A$21:$A$25)))+D229*SUMIFS(Settings!$C$21:$C$25,Settings!$A$21:$A$25,SUMPRODUCT(MAX((Settings!$A$21:$A$25&lt;=$A229)*Settings!$A$21:$A$25))))</f>
      </c>
      <c r="M229" s="32">
        <f>IF($A229="","",L229*IFERROR(INDEX(Settings!$B$30:$B$36,MATCH($B229,Settings!$A$30:$A$36,0)),0))</f>
      </c>
      <c r="N229" s="32">
        <f t="shared" si="16"/>
      </c>
      <c r="O229" s="33">
        <f t="shared" si="17"/>
      </c>
      <c r="P229" s="32">
        <f t="shared" si="18"/>
      </c>
      <c r="Q229" s="33">
        <f t="shared" si="19"/>
      </c>
    </row>
    <row r="230" spans="1:17" x14ac:dyDescent="0.25">
      <c r="A230" s="22"/>
      <c r="B230" s="5"/>
      <c r="C230" s="5"/>
      <c r="D230" s="5"/>
      <c r="E230" s="5"/>
      <c r="F230" s="5"/>
      <c r="G230" s="5"/>
      <c r="H230" s="23"/>
      <c r="I230" s="23"/>
      <c r="J230" s="5"/>
      <c r="K230" s="31">
        <f t="shared" si="15"/>
      </c>
      <c r="L230" s="32">
        <f>IF($A230="","",C230*SUMIFS(Settings!$B$21:$B$25,Settings!$A$21:$A$25,SUMPRODUCT(MAX((Settings!$A$21:$A$25&lt;=$A230)*Settings!$A$21:$A$25)))+D230*SUMIFS(Settings!$C$21:$C$25,Settings!$A$21:$A$25,SUMPRODUCT(MAX((Settings!$A$21:$A$25&lt;=$A230)*Settings!$A$21:$A$25))))</f>
      </c>
      <c r="M230" s="32">
        <f>IF($A230="","",L230*IFERROR(INDEX(Settings!$B$30:$B$36,MATCH($B230,Settings!$A$30:$A$36,0)),0))</f>
      </c>
      <c r="N230" s="32">
        <f t="shared" si="16"/>
      </c>
      <c r="O230" s="33">
        <f t="shared" si="17"/>
      </c>
      <c r="P230" s="32">
        <f t="shared" si="18"/>
      </c>
      <c r="Q230" s="33">
        <f t="shared" si="19"/>
      </c>
    </row>
    <row r="231" spans="1:17" x14ac:dyDescent="0.25">
      <c r="A231" s="22"/>
      <c r="B231" s="5"/>
      <c r="C231" s="5"/>
      <c r="D231" s="5"/>
      <c r="E231" s="5"/>
      <c r="F231" s="5"/>
      <c r="G231" s="5"/>
      <c r="H231" s="23"/>
      <c r="I231" s="23"/>
      <c r="J231" s="5"/>
      <c r="K231" s="31">
        <f t="shared" si="15"/>
      </c>
      <c r="L231" s="32">
        <f>IF($A231="","",C231*SUMIFS(Settings!$B$21:$B$25,Settings!$A$21:$A$25,SUMPRODUCT(MAX((Settings!$A$21:$A$25&lt;=$A231)*Settings!$A$21:$A$25)))+D231*SUMIFS(Settings!$C$21:$C$25,Settings!$A$21:$A$25,SUMPRODUCT(MAX((Settings!$A$21:$A$25&lt;=$A231)*Settings!$A$21:$A$25))))</f>
      </c>
      <c r="M231" s="32">
        <f>IF($A231="","",L231*IFERROR(INDEX(Settings!$B$30:$B$36,MATCH($B231,Settings!$A$30:$A$36,0)),0))</f>
      </c>
      <c r="N231" s="32">
        <f t="shared" si="16"/>
      </c>
      <c r="O231" s="33">
        <f t="shared" si="17"/>
      </c>
      <c r="P231" s="32">
        <f t="shared" si="18"/>
      </c>
      <c r="Q231" s="33">
        <f t="shared" si="19"/>
      </c>
    </row>
    <row r="232" spans="1:17" x14ac:dyDescent="0.25">
      <c r="A232" s="22"/>
      <c r="B232" s="5"/>
      <c r="C232" s="5"/>
      <c r="D232" s="5"/>
      <c r="E232" s="5"/>
      <c r="F232" s="5"/>
      <c r="G232" s="5"/>
      <c r="H232" s="23"/>
      <c r="I232" s="23"/>
      <c r="J232" s="5"/>
      <c r="K232" s="31">
        <f t="shared" si="15"/>
      </c>
      <c r="L232" s="32">
        <f>IF($A232="","",C232*SUMIFS(Settings!$B$21:$B$25,Settings!$A$21:$A$25,SUMPRODUCT(MAX((Settings!$A$21:$A$25&lt;=$A232)*Settings!$A$21:$A$25)))+D232*SUMIFS(Settings!$C$21:$C$25,Settings!$A$21:$A$25,SUMPRODUCT(MAX((Settings!$A$21:$A$25&lt;=$A232)*Settings!$A$21:$A$25))))</f>
      </c>
      <c r="M232" s="32">
        <f>IF($A232="","",L232*IFERROR(INDEX(Settings!$B$30:$B$36,MATCH($B232,Settings!$A$30:$A$36,0)),0))</f>
      </c>
      <c r="N232" s="32">
        <f t="shared" si="16"/>
      </c>
      <c r="O232" s="33">
        <f t="shared" si="17"/>
      </c>
      <c r="P232" s="32">
        <f t="shared" si="18"/>
      </c>
      <c r="Q232" s="33">
        <f t="shared" si="19"/>
      </c>
    </row>
    <row r="233" spans="1:17" x14ac:dyDescent="0.25">
      <c r="A233" s="22"/>
      <c r="B233" s="5"/>
      <c r="C233" s="5"/>
      <c r="D233" s="5"/>
      <c r="E233" s="5"/>
      <c r="F233" s="5"/>
      <c r="G233" s="5"/>
      <c r="H233" s="23"/>
      <c r="I233" s="23"/>
      <c r="J233" s="5"/>
      <c r="K233" s="31">
        <f t="shared" si="15"/>
      </c>
      <c r="L233" s="32">
        <f>IF($A233="","",C233*SUMIFS(Settings!$B$21:$B$25,Settings!$A$21:$A$25,SUMPRODUCT(MAX((Settings!$A$21:$A$25&lt;=$A233)*Settings!$A$21:$A$25)))+D233*SUMIFS(Settings!$C$21:$C$25,Settings!$A$21:$A$25,SUMPRODUCT(MAX((Settings!$A$21:$A$25&lt;=$A233)*Settings!$A$21:$A$25))))</f>
      </c>
      <c r="M233" s="32">
        <f>IF($A233="","",L233*IFERROR(INDEX(Settings!$B$30:$B$36,MATCH($B233,Settings!$A$30:$A$36,0)),0))</f>
      </c>
      <c r="N233" s="32">
        <f t="shared" si="16"/>
      </c>
      <c r="O233" s="33">
        <f t="shared" si="17"/>
      </c>
      <c r="P233" s="32">
        <f t="shared" si="18"/>
      </c>
      <c r="Q233" s="33">
        <f t="shared" si="19"/>
      </c>
    </row>
    <row r="234" spans="1:17" x14ac:dyDescent="0.25">
      <c r="A234" s="22"/>
      <c r="B234" s="5"/>
      <c r="C234" s="5"/>
      <c r="D234" s="5"/>
      <c r="E234" s="5"/>
      <c r="F234" s="5"/>
      <c r="G234" s="5"/>
      <c r="H234" s="23"/>
      <c r="I234" s="23"/>
      <c r="J234" s="5"/>
      <c r="K234" s="31">
        <f t="shared" si="15"/>
      </c>
      <c r="L234" s="32">
        <f>IF($A234="","",C234*SUMIFS(Settings!$B$21:$B$25,Settings!$A$21:$A$25,SUMPRODUCT(MAX((Settings!$A$21:$A$25&lt;=$A234)*Settings!$A$21:$A$25)))+D234*SUMIFS(Settings!$C$21:$C$25,Settings!$A$21:$A$25,SUMPRODUCT(MAX((Settings!$A$21:$A$25&lt;=$A234)*Settings!$A$21:$A$25))))</f>
      </c>
      <c r="M234" s="32">
        <f>IF($A234="","",L234*IFERROR(INDEX(Settings!$B$30:$B$36,MATCH($B234,Settings!$A$30:$A$36,0)),0))</f>
      </c>
      <c r="N234" s="32">
        <f t="shared" si="16"/>
      </c>
      <c r="O234" s="33">
        <f t="shared" si="17"/>
      </c>
      <c r="P234" s="32">
        <f t="shared" si="18"/>
      </c>
      <c r="Q234" s="33">
        <f t="shared" si="19"/>
      </c>
    </row>
    <row r="235" spans="1:17" x14ac:dyDescent="0.25">
      <c r="A235" s="22"/>
      <c r="B235" s="5"/>
      <c r="C235" s="5"/>
      <c r="D235" s="5"/>
      <c r="E235" s="5"/>
      <c r="F235" s="5"/>
      <c r="G235" s="5"/>
      <c r="H235" s="23"/>
      <c r="I235" s="23"/>
      <c r="J235" s="5"/>
      <c r="K235" s="31">
        <f t="shared" si="15"/>
      </c>
      <c r="L235" s="32">
        <f>IF($A235="","",C235*SUMIFS(Settings!$B$21:$B$25,Settings!$A$21:$A$25,SUMPRODUCT(MAX((Settings!$A$21:$A$25&lt;=$A235)*Settings!$A$21:$A$25)))+D235*SUMIFS(Settings!$C$21:$C$25,Settings!$A$21:$A$25,SUMPRODUCT(MAX((Settings!$A$21:$A$25&lt;=$A235)*Settings!$A$21:$A$25))))</f>
      </c>
      <c r="M235" s="32">
        <f>IF($A235="","",L235*IFERROR(INDEX(Settings!$B$30:$B$36,MATCH($B235,Settings!$A$30:$A$36,0)),0))</f>
      </c>
      <c r="N235" s="32">
        <f t="shared" si="16"/>
      </c>
      <c r="O235" s="33">
        <f t="shared" si="17"/>
      </c>
      <c r="P235" s="32">
        <f t="shared" si="18"/>
      </c>
      <c r="Q235" s="33">
        <f t="shared" si="19"/>
      </c>
    </row>
    <row r="236" spans="1:17" x14ac:dyDescent="0.25">
      <c r="A236" s="22"/>
      <c r="B236" s="5"/>
      <c r="C236" s="5"/>
      <c r="D236" s="5"/>
      <c r="E236" s="5"/>
      <c r="F236" s="5"/>
      <c r="G236" s="5"/>
      <c r="H236" s="23"/>
      <c r="I236" s="23"/>
      <c r="J236" s="5"/>
      <c r="K236" s="31">
        <f t="shared" si="15"/>
      </c>
      <c r="L236" s="32">
        <f>IF($A236="","",C236*SUMIFS(Settings!$B$21:$B$25,Settings!$A$21:$A$25,SUMPRODUCT(MAX((Settings!$A$21:$A$25&lt;=$A236)*Settings!$A$21:$A$25)))+D236*SUMIFS(Settings!$C$21:$C$25,Settings!$A$21:$A$25,SUMPRODUCT(MAX((Settings!$A$21:$A$25&lt;=$A236)*Settings!$A$21:$A$25))))</f>
      </c>
      <c r="M236" s="32">
        <f>IF($A236="","",L236*IFERROR(INDEX(Settings!$B$30:$B$36,MATCH($B236,Settings!$A$30:$A$36,0)),0))</f>
      </c>
      <c r="N236" s="32">
        <f t="shared" si="16"/>
      </c>
      <c r="O236" s="33">
        <f t="shared" si="17"/>
      </c>
      <c r="P236" s="32">
        <f t="shared" si="18"/>
      </c>
      <c r="Q236" s="33">
        <f t="shared" si="19"/>
      </c>
    </row>
    <row r="237" spans="1:17" x14ac:dyDescent="0.25">
      <c r="A237" s="22"/>
      <c r="B237" s="5"/>
      <c r="C237" s="5"/>
      <c r="D237" s="5"/>
      <c r="E237" s="5"/>
      <c r="F237" s="5"/>
      <c r="G237" s="5"/>
      <c r="H237" s="23"/>
      <c r="I237" s="23"/>
      <c r="J237" s="5"/>
      <c r="K237" s="31">
        <f t="shared" si="15"/>
      </c>
      <c r="L237" s="32">
        <f>IF($A237="","",C237*SUMIFS(Settings!$B$21:$B$25,Settings!$A$21:$A$25,SUMPRODUCT(MAX((Settings!$A$21:$A$25&lt;=$A237)*Settings!$A$21:$A$25)))+D237*SUMIFS(Settings!$C$21:$C$25,Settings!$A$21:$A$25,SUMPRODUCT(MAX((Settings!$A$21:$A$25&lt;=$A237)*Settings!$A$21:$A$25))))</f>
      </c>
      <c r="M237" s="32">
        <f>IF($A237="","",L237*IFERROR(INDEX(Settings!$B$30:$B$36,MATCH($B237,Settings!$A$30:$A$36,0)),0))</f>
      </c>
      <c r="N237" s="32">
        <f t="shared" si="16"/>
      </c>
      <c r="O237" s="33">
        <f t="shared" si="17"/>
      </c>
      <c r="P237" s="32">
        <f t="shared" si="18"/>
      </c>
      <c r="Q237" s="33">
        <f t="shared" si="19"/>
      </c>
    </row>
    <row r="238" spans="1:17" x14ac:dyDescent="0.25">
      <c r="A238" s="22"/>
      <c r="B238" s="5"/>
      <c r="C238" s="5"/>
      <c r="D238" s="5"/>
      <c r="E238" s="5"/>
      <c r="F238" s="5"/>
      <c r="G238" s="5"/>
      <c r="H238" s="23"/>
      <c r="I238" s="23"/>
      <c r="J238" s="5"/>
      <c r="K238" s="31">
        <f t="shared" si="15"/>
      </c>
      <c r="L238" s="32">
        <f>IF($A238="","",C238*SUMIFS(Settings!$B$21:$B$25,Settings!$A$21:$A$25,SUMPRODUCT(MAX((Settings!$A$21:$A$25&lt;=$A238)*Settings!$A$21:$A$25)))+D238*SUMIFS(Settings!$C$21:$C$25,Settings!$A$21:$A$25,SUMPRODUCT(MAX((Settings!$A$21:$A$25&lt;=$A238)*Settings!$A$21:$A$25))))</f>
      </c>
      <c r="M238" s="32">
        <f>IF($A238="","",L238*IFERROR(INDEX(Settings!$B$30:$B$36,MATCH($B238,Settings!$A$30:$A$36,0)),0))</f>
      </c>
      <c r="N238" s="32">
        <f t="shared" si="16"/>
      </c>
      <c r="O238" s="33">
        <f t="shared" si="17"/>
      </c>
      <c r="P238" s="32">
        <f t="shared" si="18"/>
      </c>
      <c r="Q238" s="33">
        <f t="shared" si="19"/>
      </c>
    </row>
    <row r="239" spans="1:17" x14ac:dyDescent="0.25">
      <c r="A239" s="22"/>
      <c r="B239" s="5"/>
      <c r="C239" s="5"/>
      <c r="D239" s="5"/>
      <c r="E239" s="5"/>
      <c r="F239" s="5"/>
      <c r="G239" s="5"/>
      <c r="H239" s="23"/>
      <c r="I239" s="23"/>
      <c r="J239" s="5"/>
      <c r="K239" s="31">
        <f t="shared" si="15"/>
      </c>
      <c r="L239" s="32">
        <f>IF($A239="","",C239*SUMIFS(Settings!$B$21:$B$25,Settings!$A$21:$A$25,SUMPRODUCT(MAX((Settings!$A$21:$A$25&lt;=$A239)*Settings!$A$21:$A$25)))+D239*SUMIFS(Settings!$C$21:$C$25,Settings!$A$21:$A$25,SUMPRODUCT(MAX((Settings!$A$21:$A$25&lt;=$A239)*Settings!$A$21:$A$25))))</f>
      </c>
      <c r="M239" s="32">
        <f>IF($A239="","",L239*IFERROR(INDEX(Settings!$B$30:$B$36,MATCH($B239,Settings!$A$30:$A$36,0)),0))</f>
      </c>
      <c r="N239" s="32">
        <f t="shared" si="16"/>
      </c>
      <c r="O239" s="33">
        <f t="shared" si="17"/>
      </c>
      <c r="P239" s="32">
        <f t="shared" si="18"/>
      </c>
      <c r="Q239" s="33">
        <f t="shared" si="19"/>
      </c>
    </row>
    <row r="240" spans="1:17" x14ac:dyDescent="0.25">
      <c r="A240" s="22"/>
      <c r="B240" s="5"/>
      <c r="C240" s="5"/>
      <c r="D240" s="5"/>
      <c r="E240" s="5"/>
      <c r="F240" s="5"/>
      <c r="G240" s="5"/>
      <c r="H240" s="23"/>
      <c r="I240" s="23"/>
      <c r="J240" s="5"/>
      <c r="K240" s="31">
        <f t="shared" si="15"/>
      </c>
      <c r="L240" s="32">
        <f>IF($A240="","",C240*SUMIFS(Settings!$B$21:$B$25,Settings!$A$21:$A$25,SUMPRODUCT(MAX((Settings!$A$21:$A$25&lt;=$A240)*Settings!$A$21:$A$25)))+D240*SUMIFS(Settings!$C$21:$C$25,Settings!$A$21:$A$25,SUMPRODUCT(MAX((Settings!$A$21:$A$25&lt;=$A240)*Settings!$A$21:$A$25))))</f>
      </c>
      <c r="M240" s="32">
        <f>IF($A240="","",L240*IFERROR(INDEX(Settings!$B$30:$B$36,MATCH($B240,Settings!$A$30:$A$36,0)),0))</f>
      </c>
      <c r="N240" s="32">
        <f t="shared" si="16"/>
      </c>
      <c r="O240" s="33">
        <f t="shared" si="17"/>
      </c>
      <c r="P240" s="32">
        <f t="shared" si="18"/>
      </c>
      <c r="Q240" s="33">
        <f t="shared" si="19"/>
      </c>
    </row>
    <row r="241" spans="1:17" x14ac:dyDescent="0.25">
      <c r="A241" s="22"/>
      <c r="B241" s="5"/>
      <c r="C241" s="5"/>
      <c r="D241" s="5"/>
      <c r="E241" s="5"/>
      <c r="F241" s="5"/>
      <c r="G241" s="5"/>
      <c r="H241" s="23"/>
      <c r="I241" s="23"/>
      <c r="J241" s="5"/>
      <c r="K241" s="31">
        <f t="shared" si="15"/>
      </c>
      <c r="L241" s="32">
        <f>IF($A241="","",C241*SUMIFS(Settings!$B$21:$B$25,Settings!$A$21:$A$25,SUMPRODUCT(MAX((Settings!$A$21:$A$25&lt;=$A241)*Settings!$A$21:$A$25)))+D241*SUMIFS(Settings!$C$21:$C$25,Settings!$A$21:$A$25,SUMPRODUCT(MAX((Settings!$A$21:$A$25&lt;=$A241)*Settings!$A$21:$A$25))))</f>
      </c>
      <c r="M241" s="32">
        <f>IF($A241="","",L241*IFERROR(INDEX(Settings!$B$30:$B$36,MATCH($B241,Settings!$A$30:$A$36,0)),0))</f>
      </c>
      <c r="N241" s="32">
        <f t="shared" si="16"/>
      </c>
      <c r="O241" s="33">
        <f t="shared" si="17"/>
      </c>
      <c r="P241" s="32">
        <f t="shared" si="18"/>
      </c>
      <c r="Q241" s="33">
        <f t="shared" si="19"/>
      </c>
    </row>
    <row r="242" spans="1:17" x14ac:dyDescent="0.25">
      <c r="A242" s="22"/>
      <c r="B242" s="5"/>
      <c r="C242" s="5"/>
      <c r="D242" s="5"/>
      <c r="E242" s="5"/>
      <c r="F242" s="5"/>
      <c r="G242" s="5"/>
      <c r="H242" s="23"/>
      <c r="I242" s="23"/>
      <c r="J242" s="5"/>
      <c r="K242" s="31">
        <f t="shared" si="15"/>
      </c>
      <c r="L242" s="32">
        <f>IF($A242="","",C242*SUMIFS(Settings!$B$21:$B$25,Settings!$A$21:$A$25,SUMPRODUCT(MAX((Settings!$A$21:$A$25&lt;=$A242)*Settings!$A$21:$A$25)))+D242*SUMIFS(Settings!$C$21:$C$25,Settings!$A$21:$A$25,SUMPRODUCT(MAX((Settings!$A$21:$A$25&lt;=$A242)*Settings!$A$21:$A$25))))</f>
      </c>
      <c r="M242" s="32">
        <f>IF($A242="","",L242*IFERROR(INDEX(Settings!$B$30:$B$36,MATCH($B242,Settings!$A$30:$A$36,0)),0))</f>
      </c>
      <c r="N242" s="32">
        <f t="shared" si="16"/>
      </c>
      <c r="O242" s="33">
        <f t="shared" si="17"/>
      </c>
      <c r="P242" s="32">
        <f t="shared" si="18"/>
      </c>
      <c r="Q242" s="33">
        <f t="shared" si="19"/>
      </c>
    </row>
    <row r="243" spans="1:17" x14ac:dyDescent="0.25">
      <c r="A243" s="22"/>
      <c r="B243" s="5"/>
      <c r="C243" s="5"/>
      <c r="D243" s="5"/>
      <c r="E243" s="5"/>
      <c r="F243" s="5"/>
      <c r="G243" s="5"/>
      <c r="H243" s="23"/>
      <c r="I243" s="23"/>
      <c r="J243" s="5"/>
      <c r="K243" s="31">
        <f t="shared" si="15"/>
      </c>
      <c r="L243" s="32">
        <f>IF($A243="","",C243*SUMIFS(Settings!$B$21:$B$25,Settings!$A$21:$A$25,SUMPRODUCT(MAX((Settings!$A$21:$A$25&lt;=$A243)*Settings!$A$21:$A$25)))+D243*SUMIFS(Settings!$C$21:$C$25,Settings!$A$21:$A$25,SUMPRODUCT(MAX((Settings!$A$21:$A$25&lt;=$A243)*Settings!$A$21:$A$25))))</f>
      </c>
      <c r="M243" s="32">
        <f>IF($A243="","",L243*IFERROR(INDEX(Settings!$B$30:$B$36,MATCH($B243,Settings!$A$30:$A$36,0)),0))</f>
      </c>
      <c r="N243" s="32">
        <f t="shared" si="16"/>
      </c>
      <c r="O243" s="33">
        <f t="shared" si="17"/>
      </c>
      <c r="P243" s="32">
        <f t="shared" si="18"/>
      </c>
      <c r="Q243" s="33">
        <f t="shared" si="19"/>
      </c>
    </row>
    <row r="244" spans="1:17" x14ac:dyDescent="0.25">
      <c r="A244" s="22"/>
      <c r="B244" s="5"/>
      <c r="C244" s="5"/>
      <c r="D244" s="5"/>
      <c r="E244" s="5"/>
      <c r="F244" s="5"/>
      <c r="G244" s="5"/>
      <c r="H244" s="23"/>
      <c r="I244" s="23"/>
      <c r="J244" s="5"/>
      <c r="K244" s="31">
        <f t="shared" si="15"/>
      </c>
      <c r="L244" s="32">
        <f>IF($A244="","",C244*SUMIFS(Settings!$B$21:$B$25,Settings!$A$21:$A$25,SUMPRODUCT(MAX((Settings!$A$21:$A$25&lt;=$A244)*Settings!$A$21:$A$25)))+D244*SUMIFS(Settings!$C$21:$C$25,Settings!$A$21:$A$25,SUMPRODUCT(MAX((Settings!$A$21:$A$25&lt;=$A244)*Settings!$A$21:$A$25))))</f>
      </c>
      <c r="M244" s="32">
        <f>IF($A244="","",L244*IFERROR(INDEX(Settings!$B$30:$B$36,MATCH($B244,Settings!$A$30:$A$36,0)),0))</f>
      </c>
      <c r="N244" s="32">
        <f t="shared" si="16"/>
      </c>
      <c r="O244" s="33">
        <f t="shared" si="17"/>
      </c>
      <c r="P244" s="32">
        <f t="shared" si="18"/>
      </c>
      <c r="Q244" s="33">
        <f t="shared" si="19"/>
      </c>
    </row>
    <row r="245" spans="1:17" x14ac:dyDescent="0.25">
      <c r="A245" s="22"/>
      <c r="B245" s="5"/>
      <c r="C245" s="5"/>
      <c r="D245" s="5"/>
      <c r="E245" s="5"/>
      <c r="F245" s="5"/>
      <c r="G245" s="5"/>
      <c r="H245" s="23"/>
      <c r="I245" s="23"/>
      <c r="J245" s="5"/>
      <c r="K245" s="31">
        <f t="shared" si="15"/>
      </c>
      <c r="L245" s="32">
        <f>IF($A245="","",C245*SUMIFS(Settings!$B$21:$B$25,Settings!$A$21:$A$25,SUMPRODUCT(MAX((Settings!$A$21:$A$25&lt;=$A245)*Settings!$A$21:$A$25)))+D245*SUMIFS(Settings!$C$21:$C$25,Settings!$A$21:$A$25,SUMPRODUCT(MAX((Settings!$A$21:$A$25&lt;=$A245)*Settings!$A$21:$A$25))))</f>
      </c>
      <c r="M245" s="32">
        <f>IF($A245="","",L245*IFERROR(INDEX(Settings!$B$30:$B$36,MATCH($B245,Settings!$A$30:$A$36,0)),0))</f>
      </c>
      <c r="N245" s="32">
        <f t="shared" si="16"/>
      </c>
      <c r="O245" s="33">
        <f t="shared" si="17"/>
      </c>
      <c r="P245" s="32">
        <f t="shared" si="18"/>
      </c>
      <c r="Q245" s="33">
        <f t="shared" si="19"/>
      </c>
    </row>
    <row r="246" spans="1:17" x14ac:dyDescent="0.25">
      <c r="A246" s="22"/>
      <c r="B246" s="5"/>
      <c r="C246" s="5"/>
      <c r="D246" s="5"/>
      <c r="E246" s="5"/>
      <c r="F246" s="5"/>
      <c r="G246" s="5"/>
      <c r="H246" s="23"/>
      <c r="I246" s="23"/>
      <c r="J246" s="5"/>
      <c r="K246" s="31">
        <f t="shared" si="15"/>
      </c>
      <c r="L246" s="32">
        <f>IF($A246="","",C246*SUMIFS(Settings!$B$21:$B$25,Settings!$A$21:$A$25,SUMPRODUCT(MAX((Settings!$A$21:$A$25&lt;=$A246)*Settings!$A$21:$A$25)))+D246*SUMIFS(Settings!$C$21:$C$25,Settings!$A$21:$A$25,SUMPRODUCT(MAX((Settings!$A$21:$A$25&lt;=$A246)*Settings!$A$21:$A$25))))</f>
      </c>
      <c r="M246" s="32">
        <f>IF($A246="","",L246*IFERROR(INDEX(Settings!$B$30:$B$36,MATCH($B246,Settings!$A$30:$A$36,0)),0))</f>
      </c>
      <c r="N246" s="32">
        <f t="shared" si="16"/>
      </c>
      <c r="O246" s="33">
        <f t="shared" si="17"/>
      </c>
      <c r="P246" s="32">
        <f t="shared" si="18"/>
      </c>
      <c r="Q246" s="33">
        <f t="shared" si="19"/>
      </c>
    </row>
    <row r="247" spans="1:17" x14ac:dyDescent="0.25">
      <c r="A247" s="22"/>
      <c r="B247" s="5"/>
      <c r="C247" s="5"/>
      <c r="D247" s="5"/>
      <c r="E247" s="5"/>
      <c r="F247" s="5"/>
      <c r="G247" s="5"/>
      <c r="H247" s="23"/>
      <c r="I247" s="23"/>
      <c r="J247" s="5"/>
      <c r="K247" s="31">
        <f t="shared" si="15"/>
      </c>
      <c r="L247" s="32">
        <f>IF($A247="","",C247*SUMIFS(Settings!$B$21:$B$25,Settings!$A$21:$A$25,SUMPRODUCT(MAX((Settings!$A$21:$A$25&lt;=$A247)*Settings!$A$21:$A$25)))+D247*SUMIFS(Settings!$C$21:$C$25,Settings!$A$21:$A$25,SUMPRODUCT(MAX((Settings!$A$21:$A$25&lt;=$A247)*Settings!$A$21:$A$25))))</f>
      </c>
      <c r="M247" s="32">
        <f>IF($A247="","",L247*IFERROR(INDEX(Settings!$B$30:$B$36,MATCH($B247,Settings!$A$30:$A$36,0)),0))</f>
      </c>
      <c r="N247" s="32">
        <f t="shared" si="16"/>
      </c>
      <c r="O247" s="33">
        <f t="shared" si="17"/>
      </c>
      <c r="P247" s="32">
        <f t="shared" si="18"/>
      </c>
      <c r="Q247" s="33">
        <f t="shared" si="19"/>
      </c>
    </row>
    <row r="248" spans="1:17" x14ac:dyDescent="0.25">
      <c r="A248" s="22"/>
      <c r="B248" s="5"/>
      <c r="C248" s="5"/>
      <c r="D248" s="5"/>
      <c r="E248" s="5"/>
      <c r="F248" s="5"/>
      <c r="G248" s="5"/>
      <c r="H248" s="23"/>
      <c r="I248" s="23"/>
      <c r="J248" s="5"/>
      <c r="K248" s="31">
        <f t="shared" si="15"/>
      </c>
      <c r="L248" s="32">
        <f>IF($A248="","",C248*SUMIFS(Settings!$B$21:$B$25,Settings!$A$21:$A$25,SUMPRODUCT(MAX((Settings!$A$21:$A$25&lt;=$A248)*Settings!$A$21:$A$25)))+D248*SUMIFS(Settings!$C$21:$C$25,Settings!$A$21:$A$25,SUMPRODUCT(MAX((Settings!$A$21:$A$25&lt;=$A248)*Settings!$A$21:$A$25))))</f>
      </c>
      <c r="M248" s="32">
        <f>IF($A248="","",L248*IFERROR(INDEX(Settings!$B$30:$B$36,MATCH($B248,Settings!$A$30:$A$36,0)),0))</f>
      </c>
      <c r="N248" s="32">
        <f t="shared" si="16"/>
      </c>
      <c r="O248" s="33">
        <f t="shared" si="17"/>
      </c>
      <c r="P248" s="32">
        <f t="shared" si="18"/>
      </c>
      <c r="Q248" s="33">
        <f t="shared" si="19"/>
      </c>
    </row>
    <row r="249" spans="1:17" x14ac:dyDescent="0.25">
      <c r="A249" s="22"/>
      <c r="B249" s="5"/>
      <c r="C249" s="5"/>
      <c r="D249" s="5"/>
      <c r="E249" s="5"/>
      <c r="F249" s="5"/>
      <c r="G249" s="5"/>
      <c r="H249" s="23"/>
      <c r="I249" s="23"/>
      <c r="J249" s="5"/>
      <c r="K249" s="31">
        <f t="shared" si="15"/>
      </c>
      <c r="L249" s="32">
        <f>IF($A249="","",C249*SUMIFS(Settings!$B$21:$B$25,Settings!$A$21:$A$25,SUMPRODUCT(MAX((Settings!$A$21:$A$25&lt;=$A249)*Settings!$A$21:$A$25)))+D249*SUMIFS(Settings!$C$21:$C$25,Settings!$A$21:$A$25,SUMPRODUCT(MAX((Settings!$A$21:$A$25&lt;=$A249)*Settings!$A$21:$A$25))))</f>
      </c>
      <c r="M249" s="32">
        <f>IF($A249="","",L249*IFERROR(INDEX(Settings!$B$30:$B$36,MATCH($B249,Settings!$A$30:$A$36,0)),0))</f>
      </c>
      <c r="N249" s="32">
        <f t="shared" si="16"/>
      </c>
      <c r="O249" s="33">
        <f t="shared" si="17"/>
      </c>
      <c r="P249" s="32">
        <f t="shared" si="18"/>
      </c>
      <c r="Q249" s="33">
        <f t="shared" si="19"/>
      </c>
    </row>
    <row r="250" spans="1:17" x14ac:dyDescent="0.25">
      <c r="A250" s="22"/>
      <c r="B250" s="5"/>
      <c r="C250" s="5"/>
      <c r="D250" s="5"/>
      <c r="E250" s="5"/>
      <c r="F250" s="5"/>
      <c r="G250" s="5"/>
      <c r="H250" s="23"/>
      <c r="I250" s="23"/>
      <c r="J250" s="5"/>
      <c r="K250" s="31">
        <f t="shared" si="15"/>
      </c>
      <c r="L250" s="32">
        <f>IF($A250="","",C250*SUMIFS(Settings!$B$21:$B$25,Settings!$A$21:$A$25,SUMPRODUCT(MAX((Settings!$A$21:$A$25&lt;=$A250)*Settings!$A$21:$A$25)))+D250*SUMIFS(Settings!$C$21:$C$25,Settings!$A$21:$A$25,SUMPRODUCT(MAX((Settings!$A$21:$A$25&lt;=$A250)*Settings!$A$21:$A$25))))</f>
      </c>
      <c r="M250" s="32">
        <f>IF($A250="","",L250*IFERROR(INDEX(Settings!$B$30:$B$36,MATCH($B250,Settings!$A$30:$A$36,0)),0))</f>
      </c>
      <c r="N250" s="32">
        <f t="shared" si="16"/>
      </c>
      <c r="O250" s="33">
        <f t="shared" si="17"/>
      </c>
      <c r="P250" s="32">
        <f t="shared" si="18"/>
      </c>
      <c r="Q250" s="33">
        <f t="shared" si="19"/>
      </c>
    </row>
    <row r="251" spans="1:17" x14ac:dyDescent="0.25">
      <c r="A251" s="22"/>
      <c r="B251" s="5"/>
      <c r="C251" s="5"/>
      <c r="D251" s="5"/>
      <c r="E251" s="5"/>
      <c r="F251" s="5"/>
      <c r="G251" s="5"/>
      <c r="H251" s="23"/>
      <c r="I251" s="23"/>
      <c r="J251" s="5"/>
      <c r="K251" s="31">
        <f t="shared" si="15"/>
      </c>
      <c r="L251" s="32">
        <f>IF($A251="","",C251*SUMIFS(Settings!$B$21:$B$25,Settings!$A$21:$A$25,SUMPRODUCT(MAX((Settings!$A$21:$A$25&lt;=$A251)*Settings!$A$21:$A$25)))+D251*SUMIFS(Settings!$C$21:$C$25,Settings!$A$21:$A$25,SUMPRODUCT(MAX((Settings!$A$21:$A$25&lt;=$A251)*Settings!$A$21:$A$25))))</f>
      </c>
      <c r="M251" s="32">
        <f>IF($A251="","",L251*IFERROR(INDEX(Settings!$B$30:$B$36,MATCH($B251,Settings!$A$30:$A$36,0)),0))</f>
      </c>
      <c r="N251" s="32">
        <f t="shared" si="16"/>
      </c>
      <c r="O251" s="33">
        <f t="shared" si="17"/>
      </c>
      <c r="P251" s="32">
        <f t="shared" si="18"/>
      </c>
      <c r="Q251" s="33">
        <f t="shared" si="19"/>
      </c>
    </row>
    <row r="252" spans="1:17" x14ac:dyDescent="0.25">
      <c r="A252" s="22"/>
      <c r="B252" s="5"/>
      <c r="C252" s="5"/>
      <c r="D252" s="5"/>
      <c r="E252" s="5"/>
      <c r="F252" s="5"/>
      <c r="G252" s="5"/>
      <c r="H252" s="23"/>
      <c r="I252" s="23"/>
      <c r="J252" s="5"/>
      <c r="K252" s="31">
        <f t="shared" si="15"/>
      </c>
      <c r="L252" s="32">
        <f>IF($A252="","",C252*SUMIFS(Settings!$B$21:$B$25,Settings!$A$21:$A$25,SUMPRODUCT(MAX((Settings!$A$21:$A$25&lt;=$A252)*Settings!$A$21:$A$25)))+D252*SUMIFS(Settings!$C$21:$C$25,Settings!$A$21:$A$25,SUMPRODUCT(MAX((Settings!$A$21:$A$25&lt;=$A252)*Settings!$A$21:$A$25))))</f>
      </c>
      <c r="M252" s="32">
        <f>IF($A252="","",L252*IFERROR(INDEX(Settings!$B$30:$B$36,MATCH($B252,Settings!$A$30:$A$36,0)),0))</f>
      </c>
      <c r="N252" s="32">
        <f t="shared" si="16"/>
      </c>
      <c r="O252" s="33">
        <f t="shared" si="17"/>
      </c>
      <c r="P252" s="32">
        <f t="shared" si="18"/>
      </c>
      <c r="Q252" s="33">
        <f t="shared" si="19"/>
      </c>
    </row>
    <row r="253" spans="1:17" x14ac:dyDescent="0.25">
      <c r="A253" s="22"/>
      <c r="B253" s="5"/>
      <c r="C253" s="5"/>
      <c r="D253" s="5"/>
      <c r="E253" s="5"/>
      <c r="F253" s="5"/>
      <c r="G253" s="5"/>
      <c r="H253" s="23"/>
      <c r="I253" s="23"/>
      <c r="J253" s="5"/>
      <c r="K253" s="31">
        <f t="shared" si="15"/>
      </c>
      <c r="L253" s="32">
        <f>IF($A253="","",C253*SUMIFS(Settings!$B$21:$B$25,Settings!$A$21:$A$25,SUMPRODUCT(MAX((Settings!$A$21:$A$25&lt;=$A253)*Settings!$A$21:$A$25)))+D253*SUMIFS(Settings!$C$21:$C$25,Settings!$A$21:$A$25,SUMPRODUCT(MAX((Settings!$A$21:$A$25&lt;=$A253)*Settings!$A$21:$A$25))))</f>
      </c>
      <c r="M253" s="32">
        <f>IF($A253="","",L253*IFERROR(INDEX(Settings!$B$30:$B$36,MATCH($B253,Settings!$A$30:$A$36,0)),0))</f>
      </c>
      <c r="N253" s="32">
        <f t="shared" si="16"/>
      </c>
      <c r="O253" s="33">
        <f t="shared" si="17"/>
      </c>
      <c r="P253" s="32">
        <f t="shared" si="18"/>
      </c>
      <c r="Q253" s="33">
        <f t="shared" si="19"/>
      </c>
    </row>
    <row r="254" spans="1:17" x14ac:dyDescent="0.25">
      <c r="A254" s="22"/>
      <c r="B254" s="5"/>
      <c r="C254" s="5"/>
      <c r="D254" s="5"/>
      <c r="E254" s="5"/>
      <c r="F254" s="5"/>
      <c r="G254" s="5"/>
      <c r="H254" s="23"/>
      <c r="I254" s="23"/>
      <c r="J254" s="5"/>
      <c r="K254" s="31">
        <f t="shared" si="15"/>
      </c>
      <c r="L254" s="32">
        <f>IF($A254="","",C254*SUMIFS(Settings!$B$21:$B$25,Settings!$A$21:$A$25,SUMPRODUCT(MAX((Settings!$A$21:$A$25&lt;=$A254)*Settings!$A$21:$A$25)))+D254*SUMIFS(Settings!$C$21:$C$25,Settings!$A$21:$A$25,SUMPRODUCT(MAX((Settings!$A$21:$A$25&lt;=$A254)*Settings!$A$21:$A$25))))</f>
      </c>
      <c r="M254" s="32">
        <f>IF($A254="","",L254*IFERROR(INDEX(Settings!$B$30:$B$36,MATCH($B254,Settings!$A$30:$A$36,0)),0))</f>
      </c>
      <c r="N254" s="32">
        <f t="shared" si="16"/>
      </c>
      <c r="O254" s="33">
        <f t="shared" si="17"/>
      </c>
      <c r="P254" s="32">
        <f t="shared" si="18"/>
      </c>
      <c r="Q254" s="33">
        <f t="shared" si="19"/>
      </c>
    </row>
    <row r="255" spans="1:17" x14ac:dyDescent="0.25">
      <c r="A255" s="22"/>
      <c r="B255" s="5"/>
      <c r="C255" s="5"/>
      <c r="D255" s="5"/>
      <c r="E255" s="5"/>
      <c r="F255" s="5"/>
      <c r="G255" s="5"/>
      <c r="H255" s="23"/>
      <c r="I255" s="23"/>
      <c r="J255" s="5"/>
      <c r="K255" s="31">
        <f t="shared" si="15"/>
      </c>
      <c r="L255" s="32">
        <f>IF($A255="","",C255*SUMIFS(Settings!$B$21:$B$25,Settings!$A$21:$A$25,SUMPRODUCT(MAX((Settings!$A$21:$A$25&lt;=$A255)*Settings!$A$21:$A$25)))+D255*SUMIFS(Settings!$C$21:$C$25,Settings!$A$21:$A$25,SUMPRODUCT(MAX((Settings!$A$21:$A$25&lt;=$A255)*Settings!$A$21:$A$25))))</f>
      </c>
      <c r="M255" s="32">
        <f>IF($A255="","",L255*IFERROR(INDEX(Settings!$B$30:$B$36,MATCH($B255,Settings!$A$30:$A$36,0)),0))</f>
      </c>
      <c r="N255" s="32">
        <f t="shared" si="16"/>
      </c>
      <c r="O255" s="33">
        <f t="shared" si="17"/>
      </c>
      <c r="P255" s="32">
        <f t="shared" si="18"/>
      </c>
      <c r="Q255" s="33">
        <f t="shared" si="19"/>
      </c>
    </row>
    <row r="256" spans="1:17" x14ac:dyDescent="0.25">
      <c r="A256" s="22"/>
      <c r="B256" s="5"/>
      <c r="C256" s="5"/>
      <c r="D256" s="5"/>
      <c r="E256" s="5"/>
      <c r="F256" s="5"/>
      <c r="G256" s="5"/>
      <c r="H256" s="23"/>
      <c r="I256" s="23"/>
      <c r="J256" s="5"/>
      <c r="K256" s="31">
        <f t="shared" si="15"/>
      </c>
      <c r="L256" s="32">
        <f>IF($A256="","",C256*SUMIFS(Settings!$B$21:$B$25,Settings!$A$21:$A$25,SUMPRODUCT(MAX((Settings!$A$21:$A$25&lt;=$A256)*Settings!$A$21:$A$25)))+D256*SUMIFS(Settings!$C$21:$C$25,Settings!$A$21:$A$25,SUMPRODUCT(MAX((Settings!$A$21:$A$25&lt;=$A256)*Settings!$A$21:$A$25))))</f>
      </c>
      <c r="M256" s="32">
        <f>IF($A256="","",L256*IFERROR(INDEX(Settings!$B$30:$B$36,MATCH($B256,Settings!$A$30:$A$36,0)),0))</f>
      </c>
      <c r="N256" s="32">
        <f t="shared" si="16"/>
      </c>
      <c r="O256" s="33">
        <f t="shared" si="17"/>
      </c>
      <c r="P256" s="32">
        <f t="shared" si="18"/>
      </c>
      <c r="Q256" s="33">
        <f t="shared" si="19"/>
      </c>
    </row>
    <row r="257" spans="1:17" x14ac:dyDescent="0.25">
      <c r="A257" s="22"/>
      <c r="B257" s="5"/>
      <c r="C257" s="5"/>
      <c r="D257" s="5"/>
      <c r="E257" s="5"/>
      <c r="F257" s="5"/>
      <c r="G257" s="5"/>
      <c r="H257" s="23"/>
      <c r="I257" s="23"/>
      <c r="J257" s="5"/>
      <c r="K257" s="31">
        <f t="shared" si="15"/>
      </c>
      <c r="L257" s="32">
        <f>IF($A257="","",C257*SUMIFS(Settings!$B$21:$B$25,Settings!$A$21:$A$25,SUMPRODUCT(MAX((Settings!$A$21:$A$25&lt;=$A257)*Settings!$A$21:$A$25)))+D257*SUMIFS(Settings!$C$21:$C$25,Settings!$A$21:$A$25,SUMPRODUCT(MAX((Settings!$A$21:$A$25&lt;=$A257)*Settings!$A$21:$A$25))))</f>
      </c>
      <c r="M257" s="32">
        <f>IF($A257="","",L257*IFERROR(INDEX(Settings!$B$30:$B$36,MATCH($B257,Settings!$A$30:$A$36,0)),0))</f>
      </c>
      <c r="N257" s="32">
        <f t="shared" si="16"/>
      </c>
      <c r="O257" s="33">
        <f t="shared" si="17"/>
      </c>
      <c r="P257" s="32">
        <f t="shared" si="18"/>
      </c>
      <c r="Q257" s="33">
        <f t="shared" si="19"/>
      </c>
    </row>
    <row r="258" spans="1:17" x14ac:dyDescent="0.25">
      <c r="A258" s="22"/>
      <c r="B258" s="5"/>
      <c r="C258" s="5"/>
      <c r="D258" s="5"/>
      <c r="E258" s="5"/>
      <c r="F258" s="5"/>
      <c r="G258" s="5"/>
      <c r="H258" s="23"/>
      <c r="I258" s="23"/>
      <c r="J258" s="5"/>
      <c r="K258" s="31">
        <f t="shared" si="15"/>
      </c>
      <c r="L258" s="32">
        <f>IF($A258="","",C258*SUMIFS(Settings!$B$21:$B$25,Settings!$A$21:$A$25,SUMPRODUCT(MAX((Settings!$A$21:$A$25&lt;=$A258)*Settings!$A$21:$A$25)))+D258*SUMIFS(Settings!$C$21:$C$25,Settings!$A$21:$A$25,SUMPRODUCT(MAX((Settings!$A$21:$A$25&lt;=$A258)*Settings!$A$21:$A$25))))</f>
      </c>
      <c r="M258" s="32">
        <f>IF($A258="","",L258*IFERROR(INDEX(Settings!$B$30:$B$36,MATCH($B258,Settings!$A$30:$A$36,0)),0))</f>
      </c>
      <c r="N258" s="32">
        <f t="shared" si="16"/>
      </c>
      <c r="O258" s="33">
        <f t="shared" si="17"/>
      </c>
      <c r="P258" s="32">
        <f t="shared" si="18"/>
      </c>
      <c r="Q258" s="33">
        <f t="shared" si="19"/>
      </c>
    </row>
    <row r="259" spans="1:17" x14ac:dyDescent="0.25">
      <c r="A259" s="22"/>
      <c r="B259" s="5"/>
      <c r="C259" s="5"/>
      <c r="D259" s="5"/>
      <c r="E259" s="5"/>
      <c r="F259" s="5"/>
      <c r="G259" s="5"/>
      <c r="H259" s="23"/>
      <c r="I259" s="23"/>
      <c r="J259" s="5"/>
      <c r="K259" s="31">
        <f t="shared" si="15"/>
      </c>
      <c r="L259" s="32">
        <f>IF($A259="","",C259*SUMIFS(Settings!$B$21:$B$25,Settings!$A$21:$A$25,SUMPRODUCT(MAX((Settings!$A$21:$A$25&lt;=$A259)*Settings!$A$21:$A$25)))+D259*SUMIFS(Settings!$C$21:$C$25,Settings!$A$21:$A$25,SUMPRODUCT(MAX((Settings!$A$21:$A$25&lt;=$A259)*Settings!$A$21:$A$25))))</f>
      </c>
      <c r="M259" s="32">
        <f>IF($A259="","",L259*IFERROR(INDEX(Settings!$B$30:$B$36,MATCH($B259,Settings!$A$30:$A$36,0)),0))</f>
      </c>
      <c r="N259" s="32">
        <f t="shared" si="16"/>
      </c>
      <c r="O259" s="33">
        <f t="shared" si="17"/>
      </c>
      <c r="P259" s="32">
        <f t="shared" si="18"/>
      </c>
      <c r="Q259" s="33">
        <f t="shared" si="19"/>
      </c>
    </row>
    <row r="260" spans="1:17" x14ac:dyDescent="0.25">
      <c r="A260" s="22"/>
      <c r="B260" s="5"/>
      <c r="C260" s="5"/>
      <c r="D260" s="5"/>
      <c r="E260" s="5"/>
      <c r="F260" s="5"/>
      <c r="G260" s="5"/>
      <c r="H260" s="23"/>
      <c r="I260" s="23"/>
      <c r="J260" s="5"/>
      <c r="K260" s="31">
        <f t="shared" si="15"/>
      </c>
      <c r="L260" s="32">
        <f>IF($A260="","",C260*SUMIFS(Settings!$B$21:$B$25,Settings!$A$21:$A$25,SUMPRODUCT(MAX((Settings!$A$21:$A$25&lt;=$A260)*Settings!$A$21:$A$25)))+D260*SUMIFS(Settings!$C$21:$C$25,Settings!$A$21:$A$25,SUMPRODUCT(MAX((Settings!$A$21:$A$25&lt;=$A260)*Settings!$A$21:$A$25))))</f>
      </c>
      <c r="M260" s="32">
        <f>IF($A260="","",L260*IFERROR(INDEX(Settings!$B$30:$B$36,MATCH($B260,Settings!$A$30:$A$36,0)),0))</f>
      </c>
      <c r="N260" s="32">
        <f t="shared" si="16"/>
      </c>
      <c r="O260" s="33">
        <f t="shared" si="17"/>
      </c>
      <c r="P260" s="32">
        <f t="shared" si="18"/>
      </c>
      <c r="Q260" s="33">
        <f t="shared" si="19"/>
      </c>
    </row>
    <row r="261" spans="1:17" x14ac:dyDescent="0.25">
      <c r="A261" s="22"/>
      <c r="B261" s="5"/>
      <c r="C261" s="5"/>
      <c r="D261" s="5"/>
      <c r="E261" s="5"/>
      <c r="F261" s="5"/>
      <c r="G261" s="5"/>
      <c r="H261" s="23"/>
      <c r="I261" s="23"/>
      <c r="J261" s="5"/>
      <c r="K261" s="31">
        <f t="shared" si="15"/>
      </c>
      <c r="L261" s="32">
        <f>IF($A261="","",C261*SUMIFS(Settings!$B$21:$B$25,Settings!$A$21:$A$25,SUMPRODUCT(MAX((Settings!$A$21:$A$25&lt;=$A261)*Settings!$A$21:$A$25)))+D261*SUMIFS(Settings!$C$21:$C$25,Settings!$A$21:$A$25,SUMPRODUCT(MAX((Settings!$A$21:$A$25&lt;=$A261)*Settings!$A$21:$A$25))))</f>
      </c>
      <c r="M261" s="32">
        <f>IF($A261="","",L261*IFERROR(INDEX(Settings!$B$30:$B$36,MATCH($B261,Settings!$A$30:$A$36,0)),0))</f>
      </c>
      <c r="N261" s="32">
        <f t="shared" si="16"/>
      </c>
      <c r="O261" s="33">
        <f t="shared" si="17"/>
      </c>
      <c r="P261" s="32">
        <f t="shared" si="18"/>
      </c>
      <c r="Q261" s="33">
        <f t="shared" si="19"/>
      </c>
    </row>
    <row r="262" spans="1:17" x14ac:dyDescent="0.25">
      <c r="A262" s="22"/>
      <c r="B262" s="5"/>
      <c r="C262" s="5"/>
      <c r="D262" s="5"/>
      <c r="E262" s="5"/>
      <c r="F262" s="5"/>
      <c r="G262" s="5"/>
      <c r="H262" s="23"/>
      <c r="I262" s="23"/>
      <c r="J262" s="5"/>
      <c r="K262" s="31">
        <f t="shared" ref="K262:K325" si="20">IF($A262="","",C262+D262)</f>
      </c>
      <c r="L262" s="32">
        <f>IF($A262="","",C262*SUMIFS(Settings!$B$21:$B$25,Settings!$A$21:$A$25,SUMPRODUCT(MAX((Settings!$A$21:$A$25&lt;=$A262)*Settings!$A$21:$A$25)))+D262*SUMIFS(Settings!$C$21:$C$25,Settings!$A$21:$A$25,SUMPRODUCT(MAX((Settings!$A$21:$A$25&lt;=$A262)*Settings!$A$21:$A$25))))</f>
      </c>
      <c r="M262" s="32">
        <f>IF($A262="","",L262*IFERROR(INDEX(Settings!$B$30:$B$36,MATCH($B262,Settings!$A$30:$A$36,0)),0))</f>
      </c>
      <c r="N262" s="32">
        <f t="shared" ref="N262:N325" si="21">IF(OR($A262="",F262="",G262=""),"",(F262-G262)-(K262+E262))</f>
      </c>
      <c r="O262" s="33">
        <f t="shared" ref="O262:O325" si="22">IF(N262="","",IF(N262=0,"OK","CHECK"))</f>
      </c>
      <c r="P262" s="32">
        <f t="shared" ref="P262:P325" si="23">IF(OR($A262="",AND(H262="",I262="")),"",H262+I262-L262)</f>
      </c>
      <c r="Q262" s="33">
        <f t="shared" ref="Q262:Q325" si="24">IF(P262="","",IF(P262=0,"OK","CHECK"))</f>
      </c>
    </row>
    <row r="263" spans="1:17" x14ac:dyDescent="0.25">
      <c r="A263" s="22"/>
      <c r="B263" s="5"/>
      <c r="C263" s="5"/>
      <c r="D263" s="5"/>
      <c r="E263" s="5"/>
      <c r="F263" s="5"/>
      <c r="G263" s="5"/>
      <c r="H263" s="23"/>
      <c r="I263" s="23"/>
      <c r="J263" s="5"/>
      <c r="K263" s="31">
        <f t="shared" si="20"/>
      </c>
      <c r="L263" s="32">
        <f>IF($A263="","",C263*SUMIFS(Settings!$B$21:$B$25,Settings!$A$21:$A$25,SUMPRODUCT(MAX((Settings!$A$21:$A$25&lt;=$A263)*Settings!$A$21:$A$25)))+D263*SUMIFS(Settings!$C$21:$C$25,Settings!$A$21:$A$25,SUMPRODUCT(MAX((Settings!$A$21:$A$25&lt;=$A263)*Settings!$A$21:$A$25))))</f>
      </c>
      <c r="M263" s="32">
        <f>IF($A263="","",L263*IFERROR(INDEX(Settings!$B$30:$B$36,MATCH($B263,Settings!$A$30:$A$36,0)),0))</f>
      </c>
      <c r="N263" s="32">
        <f t="shared" si="21"/>
      </c>
      <c r="O263" s="33">
        <f t="shared" si="22"/>
      </c>
      <c r="P263" s="32">
        <f t="shared" si="23"/>
      </c>
      <c r="Q263" s="33">
        <f t="shared" si="24"/>
      </c>
    </row>
    <row r="264" spans="1:17" x14ac:dyDescent="0.25">
      <c r="A264" s="22"/>
      <c r="B264" s="5"/>
      <c r="C264" s="5"/>
      <c r="D264" s="5"/>
      <c r="E264" s="5"/>
      <c r="F264" s="5"/>
      <c r="G264" s="5"/>
      <c r="H264" s="23"/>
      <c r="I264" s="23"/>
      <c r="J264" s="5"/>
      <c r="K264" s="31">
        <f t="shared" si="20"/>
      </c>
      <c r="L264" s="32">
        <f>IF($A264="","",C264*SUMIFS(Settings!$B$21:$B$25,Settings!$A$21:$A$25,SUMPRODUCT(MAX((Settings!$A$21:$A$25&lt;=$A264)*Settings!$A$21:$A$25)))+D264*SUMIFS(Settings!$C$21:$C$25,Settings!$A$21:$A$25,SUMPRODUCT(MAX((Settings!$A$21:$A$25&lt;=$A264)*Settings!$A$21:$A$25))))</f>
      </c>
      <c r="M264" s="32">
        <f>IF($A264="","",L264*IFERROR(INDEX(Settings!$B$30:$B$36,MATCH($B264,Settings!$A$30:$A$36,0)),0))</f>
      </c>
      <c r="N264" s="32">
        <f t="shared" si="21"/>
      </c>
      <c r="O264" s="33">
        <f t="shared" si="22"/>
      </c>
      <c r="P264" s="32">
        <f t="shared" si="23"/>
      </c>
      <c r="Q264" s="33">
        <f t="shared" si="24"/>
      </c>
    </row>
    <row r="265" spans="1:17" x14ac:dyDescent="0.25">
      <c r="A265" s="22"/>
      <c r="B265" s="5"/>
      <c r="C265" s="5"/>
      <c r="D265" s="5"/>
      <c r="E265" s="5"/>
      <c r="F265" s="5"/>
      <c r="G265" s="5"/>
      <c r="H265" s="23"/>
      <c r="I265" s="23"/>
      <c r="J265" s="5"/>
      <c r="K265" s="31">
        <f t="shared" si="20"/>
      </c>
      <c r="L265" s="32">
        <f>IF($A265="","",C265*SUMIFS(Settings!$B$21:$B$25,Settings!$A$21:$A$25,SUMPRODUCT(MAX((Settings!$A$21:$A$25&lt;=$A265)*Settings!$A$21:$A$25)))+D265*SUMIFS(Settings!$C$21:$C$25,Settings!$A$21:$A$25,SUMPRODUCT(MAX((Settings!$A$21:$A$25&lt;=$A265)*Settings!$A$21:$A$25))))</f>
      </c>
      <c r="M265" s="32">
        <f>IF($A265="","",L265*IFERROR(INDEX(Settings!$B$30:$B$36,MATCH($B265,Settings!$A$30:$A$36,0)),0))</f>
      </c>
      <c r="N265" s="32">
        <f t="shared" si="21"/>
      </c>
      <c r="O265" s="33">
        <f t="shared" si="22"/>
      </c>
      <c r="P265" s="32">
        <f t="shared" si="23"/>
      </c>
      <c r="Q265" s="33">
        <f t="shared" si="24"/>
      </c>
    </row>
    <row r="266" spans="1:17" x14ac:dyDescent="0.25">
      <c r="A266" s="22"/>
      <c r="B266" s="5"/>
      <c r="C266" s="5"/>
      <c r="D266" s="5"/>
      <c r="E266" s="5"/>
      <c r="F266" s="5"/>
      <c r="G266" s="5"/>
      <c r="H266" s="23"/>
      <c r="I266" s="23"/>
      <c r="J266" s="5"/>
      <c r="K266" s="31">
        <f t="shared" si="20"/>
      </c>
      <c r="L266" s="32">
        <f>IF($A266="","",C266*SUMIFS(Settings!$B$21:$B$25,Settings!$A$21:$A$25,SUMPRODUCT(MAX((Settings!$A$21:$A$25&lt;=$A266)*Settings!$A$21:$A$25)))+D266*SUMIFS(Settings!$C$21:$C$25,Settings!$A$21:$A$25,SUMPRODUCT(MAX((Settings!$A$21:$A$25&lt;=$A266)*Settings!$A$21:$A$25))))</f>
      </c>
      <c r="M266" s="32">
        <f>IF($A266="","",L266*IFERROR(INDEX(Settings!$B$30:$B$36,MATCH($B266,Settings!$A$30:$A$36,0)),0))</f>
      </c>
      <c r="N266" s="32">
        <f t="shared" si="21"/>
      </c>
      <c r="O266" s="33">
        <f t="shared" si="22"/>
      </c>
      <c r="P266" s="32">
        <f t="shared" si="23"/>
      </c>
      <c r="Q266" s="33">
        <f t="shared" si="24"/>
      </c>
    </row>
    <row r="267" spans="1:17" x14ac:dyDescent="0.25">
      <c r="A267" s="22"/>
      <c r="B267" s="5"/>
      <c r="C267" s="5"/>
      <c r="D267" s="5"/>
      <c r="E267" s="5"/>
      <c r="F267" s="5"/>
      <c r="G267" s="5"/>
      <c r="H267" s="23"/>
      <c r="I267" s="23"/>
      <c r="J267" s="5"/>
      <c r="K267" s="31">
        <f t="shared" si="20"/>
      </c>
      <c r="L267" s="32">
        <f>IF($A267="","",C267*SUMIFS(Settings!$B$21:$B$25,Settings!$A$21:$A$25,SUMPRODUCT(MAX((Settings!$A$21:$A$25&lt;=$A267)*Settings!$A$21:$A$25)))+D267*SUMIFS(Settings!$C$21:$C$25,Settings!$A$21:$A$25,SUMPRODUCT(MAX((Settings!$A$21:$A$25&lt;=$A267)*Settings!$A$21:$A$25))))</f>
      </c>
      <c r="M267" s="32">
        <f>IF($A267="","",L267*IFERROR(INDEX(Settings!$B$30:$B$36,MATCH($B267,Settings!$A$30:$A$36,0)),0))</f>
      </c>
      <c r="N267" s="32">
        <f t="shared" si="21"/>
      </c>
      <c r="O267" s="33">
        <f t="shared" si="22"/>
      </c>
      <c r="P267" s="32">
        <f t="shared" si="23"/>
      </c>
      <c r="Q267" s="33">
        <f t="shared" si="24"/>
      </c>
    </row>
    <row r="268" spans="1:17" x14ac:dyDescent="0.25">
      <c r="A268" s="22"/>
      <c r="B268" s="5"/>
      <c r="C268" s="5"/>
      <c r="D268" s="5"/>
      <c r="E268" s="5"/>
      <c r="F268" s="5"/>
      <c r="G268" s="5"/>
      <c r="H268" s="23"/>
      <c r="I268" s="23"/>
      <c r="J268" s="5"/>
      <c r="K268" s="31">
        <f t="shared" si="20"/>
      </c>
      <c r="L268" s="32">
        <f>IF($A268="","",C268*SUMIFS(Settings!$B$21:$B$25,Settings!$A$21:$A$25,SUMPRODUCT(MAX((Settings!$A$21:$A$25&lt;=$A268)*Settings!$A$21:$A$25)))+D268*SUMIFS(Settings!$C$21:$C$25,Settings!$A$21:$A$25,SUMPRODUCT(MAX((Settings!$A$21:$A$25&lt;=$A268)*Settings!$A$21:$A$25))))</f>
      </c>
      <c r="M268" s="32">
        <f>IF($A268="","",L268*IFERROR(INDEX(Settings!$B$30:$B$36,MATCH($B268,Settings!$A$30:$A$36,0)),0))</f>
      </c>
      <c r="N268" s="32">
        <f t="shared" si="21"/>
      </c>
      <c r="O268" s="33">
        <f t="shared" si="22"/>
      </c>
      <c r="P268" s="32">
        <f t="shared" si="23"/>
      </c>
      <c r="Q268" s="33">
        <f t="shared" si="24"/>
      </c>
    </row>
    <row r="269" spans="1:17" x14ac:dyDescent="0.25">
      <c r="A269" s="22"/>
      <c r="B269" s="5"/>
      <c r="C269" s="5"/>
      <c r="D269" s="5"/>
      <c r="E269" s="5"/>
      <c r="F269" s="5"/>
      <c r="G269" s="5"/>
      <c r="H269" s="23"/>
      <c r="I269" s="23"/>
      <c r="J269" s="5"/>
      <c r="K269" s="31">
        <f t="shared" si="20"/>
      </c>
      <c r="L269" s="32">
        <f>IF($A269="","",C269*SUMIFS(Settings!$B$21:$B$25,Settings!$A$21:$A$25,SUMPRODUCT(MAX((Settings!$A$21:$A$25&lt;=$A269)*Settings!$A$21:$A$25)))+D269*SUMIFS(Settings!$C$21:$C$25,Settings!$A$21:$A$25,SUMPRODUCT(MAX((Settings!$A$21:$A$25&lt;=$A269)*Settings!$A$21:$A$25))))</f>
      </c>
      <c r="M269" s="32">
        <f>IF($A269="","",L269*IFERROR(INDEX(Settings!$B$30:$B$36,MATCH($B269,Settings!$A$30:$A$36,0)),0))</f>
      </c>
      <c r="N269" s="32">
        <f t="shared" si="21"/>
      </c>
      <c r="O269" s="33">
        <f t="shared" si="22"/>
      </c>
      <c r="P269" s="32">
        <f t="shared" si="23"/>
      </c>
      <c r="Q269" s="33">
        <f t="shared" si="24"/>
      </c>
    </row>
    <row r="270" spans="1:17" x14ac:dyDescent="0.25">
      <c r="A270" s="22"/>
      <c r="B270" s="5"/>
      <c r="C270" s="5"/>
      <c r="D270" s="5"/>
      <c r="E270" s="5"/>
      <c r="F270" s="5"/>
      <c r="G270" s="5"/>
      <c r="H270" s="23"/>
      <c r="I270" s="23"/>
      <c r="J270" s="5"/>
      <c r="K270" s="31">
        <f t="shared" si="20"/>
      </c>
      <c r="L270" s="32">
        <f>IF($A270="","",C270*SUMIFS(Settings!$B$21:$B$25,Settings!$A$21:$A$25,SUMPRODUCT(MAX((Settings!$A$21:$A$25&lt;=$A270)*Settings!$A$21:$A$25)))+D270*SUMIFS(Settings!$C$21:$C$25,Settings!$A$21:$A$25,SUMPRODUCT(MAX((Settings!$A$21:$A$25&lt;=$A270)*Settings!$A$21:$A$25))))</f>
      </c>
      <c r="M270" s="32">
        <f>IF($A270="","",L270*IFERROR(INDEX(Settings!$B$30:$B$36,MATCH($B270,Settings!$A$30:$A$36,0)),0))</f>
      </c>
      <c r="N270" s="32">
        <f t="shared" si="21"/>
      </c>
      <c r="O270" s="33">
        <f t="shared" si="22"/>
      </c>
      <c r="P270" s="32">
        <f t="shared" si="23"/>
      </c>
      <c r="Q270" s="33">
        <f t="shared" si="24"/>
      </c>
    </row>
    <row r="271" spans="1:17" x14ac:dyDescent="0.25">
      <c r="A271" s="22"/>
      <c r="B271" s="5"/>
      <c r="C271" s="5"/>
      <c r="D271" s="5"/>
      <c r="E271" s="5"/>
      <c r="F271" s="5"/>
      <c r="G271" s="5"/>
      <c r="H271" s="23"/>
      <c r="I271" s="23"/>
      <c r="J271" s="5"/>
      <c r="K271" s="31">
        <f t="shared" si="20"/>
      </c>
      <c r="L271" s="32">
        <f>IF($A271="","",C271*SUMIFS(Settings!$B$21:$B$25,Settings!$A$21:$A$25,SUMPRODUCT(MAX((Settings!$A$21:$A$25&lt;=$A271)*Settings!$A$21:$A$25)))+D271*SUMIFS(Settings!$C$21:$C$25,Settings!$A$21:$A$25,SUMPRODUCT(MAX((Settings!$A$21:$A$25&lt;=$A271)*Settings!$A$21:$A$25))))</f>
      </c>
      <c r="M271" s="32">
        <f>IF($A271="","",L271*IFERROR(INDEX(Settings!$B$30:$B$36,MATCH($B271,Settings!$A$30:$A$36,0)),0))</f>
      </c>
      <c r="N271" s="32">
        <f t="shared" si="21"/>
      </c>
      <c r="O271" s="33">
        <f t="shared" si="22"/>
      </c>
      <c r="P271" s="32">
        <f t="shared" si="23"/>
      </c>
      <c r="Q271" s="33">
        <f t="shared" si="24"/>
      </c>
    </row>
    <row r="272" spans="1:17" x14ac:dyDescent="0.25">
      <c r="A272" s="22"/>
      <c r="B272" s="5"/>
      <c r="C272" s="5"/>
      <c r="D272" s="5"/>
      <c r="E272" s="5"/>
      <c r="F272" s="5"/>
      <c r="G272" s="5"/>
      <c r="H272" s="23"/>
      <c r="I272" s="23"/>
      <c r="J272" s="5"/>
      <c r="K272" s="31">
        <f t="shared" si="20"/>
      </c>
      <c r="L272" s="32">
        <f>IF($A272="","",C272*SUMIFS(Settings!$B$21:$B$25,Settings!$A$21:$A$25,SUMPRODUCT(MAX((Settings!$A$21:$A$25&lt;=$A272)*Settings!$A$21:$A$25)))+D272*SUMIFS(Settings!$C$21:$C$25,Settings!$A$21:$A$25,SUMPRODUCT(MAX((Settings!$A$21:$A$25&lt;=$A272)*Settings!$A$21:$A$25))))</f>
      </c>
      <c r="M272" s="32">
        <f>IF($A272="","",L272*IFERROR(INDEX(Settings!$B$30:$B$36,MATCH($B272,Settings!$A$30:$A$36,0)),0))</f>
      </c>
      <c r="N272" s="32">
        <f t="shared" si="21"/>
      </c>
      <c r="O272" s="33">
        <f t="shared" si="22"/>
      </c>
      <c r="P272" s="32">
        <f t="shared" si="23"/>
      </c>
      <c r="Q272" s="33">
        <f t="shared" si="24"/>
      </c>
    </row>
    <row r="273" spans="1:17" x14ac:dyDescent="0.25">
      <c r="A273" s="22"/>
      <c r="B273" s="5"/>
      <c r="C273" s="5"/>
      <c r="D273" s="5"/>
      <c r="E273" s="5"/>
      <c r="F273" s="5"/>
      <c r="G273" s="5"/>
      <c r="H273" s="23"/>
      <c r="I273" s="23"/>
      <c r="J273" s="5"/>
      <c r="K273" s="31">
        <f t="shared" si="20"/>
      </c>
      <c r="L273" s="32">
        <f>IF($A273="","",C273*SUMIFS(Settings!$B$21:$B$25,Settings!$A$21:$A$25,SUMPRODUCT(MAX((Settings!$A$21:$A$25&lt;=$A273)*Settings!$A$21:$A$25)))+D273*SUMIFS(Settings!$C$21:$C$25,Settings!$A$21:$A$25,SUMPRODUCT(MAX((Settings!$A$21:$A$25&lt;=$A273)*Settings!$A$21:$A$25))))</f>
      </c>
      <c r="M273" s="32">
        <f>IF($A273="","",L273*IFERROR(INDEX(Settings!$B$30:$B$36,MATCH($B273,Settings!$A$30:$A$36,0)),0))</f>
      </c>
      <c r="N273" s="32">
        <f t="shared" si="21"/>
      </c>
      <c r="O273" s="33">
        <f t="shared" si="22"/>
      </c>
      <c r="P273" s="32">
        <f t="shared" si="23"/>
      </c>
      <c r="Q273" s="33">
        <f t="shared" si="24"/>
      </c>
    </row>
    <row r="274" spans="1:17" x14ac:dyDescent="0.25">
      <c r="A274" s="22"/>
      <c r="B274" s="5"/>
      <c r="C274" s="5"/>
      <c r="D274" s="5"/>
      <c r="E274" s="5"/>
      <c r="F274" s="5"/>
      <c r="G274" s="5"/>
      <c r="H274" s="23"/>
      <c r="I274" s="23"/>
      <c r="J274" s="5"/>
      <c r="K274" s="31">
        <f t="shared" si="20"/>
      </c>
      <c r="L274" s="32">
        <f>IF($A274="","",C274*SUMIFS(Settings!$B$21:$B$25,Settings!$A$21:$A$25,SUMPRODUCT(MAX((Settings!$A$21:$A$25&lt;=$A274)*Settings!$A$21:$A$25)))+D274*SUMIFS(Settings!$C$21:$C$25,Settings!$A$21:$A$25,SUMPRODUCT(MAX((Settings!$A$21:$A$25&lt;=$A274)*Settings!$A$21:$A$25))))</f>
      </c>
      <c r="M274" s="32">
        <f>IF($A274="","",L274*IFERROR(INDEX(Settings!$B$30:$B$36,MATCH($B274,Settings!$A$30:$A$36,0)),0))</f>
      </c>
      <c r="N274" s="32">
        <f t="shared" si="21"/>
      </c>
      <c r="O274" s="33">
        <f t="shared" si="22"/>
      </c>
      <c r="P274" s="32">
        <f t="shared" si="23"/>
      </c>
      <c r="Q274" s="33">
        <f t="shared" si="24"/>
      </c>
    </row>
    <row r="275" spans="1:17" x14ac:dyDescent="0.25">
      <c r="A275" s="22"/>
      <c r="B275" s="5"/>
      <c r="C275" s="5"/>
      <c r="D275" s="5"/>
      <c r="E275" s="5"/>
      <c r="F275" s="5"/>
      <c r="G275" s="5"/>
      <c r="H275" s="23"/>
      <c r="I275" s="23"/>
      <c r="J275" s="5"/>
      <c r="K275" s="31">
        <f t="shared" si="20"/>
      </c>
      <c r="L275" s="32">
        <f>IF($A275="","",C275*SUMIFS(Settings!$B$21:$B$25,Settings!$A$21:$A$25,SUMPRODUCT(MAX((Settings!$A$21:$A$25&lt;=$A275)*Settings!$A$21:$A$25)))+D275*SUMIFS(Settings!$C$21:$C$25,Settings!$A$21:$A$25,SUMPRODUCT(MAX((Settings!$A$21:$A$25&lt;=$A275)*Settings!$A$21:$A$25))))</f>
      </c>
      <c r="M275" s="32">
        <f>IF($A275="","",L275*IFERROR(INDEX(Settings!$B$30:$B$36,MATCH($B275,Settings!$A$30:$A$36,0)),0))</f>
      </c>
      <c r="N275" s="32">
        <f t="shared" si="21"/>
      </c>
      <c r="O275" s="33">
        <f t="shared" si="22"/>
      </c>
      <c r="P275" s="32">
        <f t="shared" si="23"/>
      </c>
      <c r="Q275" s="33">
        <f t="shared" si="24"/>
      </c>
    </row>
    <row r="276" spans="1:17" x14ac:dyDescent="0.25">
      <c r="A276" s="22"/>
      <c r="B276" s="5"/>
      <c r="C276" s="5"/>
      <c r="D276" s="5"/>
      <c r="E276" s="5"/>
      <c r="F276" s="5"/>
      <c r="G276" s="5"/>
      <c r="H276" s="23"/>
      <c r="I276" s="23"/>
      <c r="J276" s="5"/>
      <c r="K276" s="31">
        <f t="shared" si="20"/>
      </c>
      <c r="L276" s="32">
        <f>IF($A276="","",C276*SUMIFS(Settings!$B$21:$B$25,Settings!$A$21:$A$25,SUMPRODUCT(MAX((Settings!$A$21:$A$25&lt;=$A276)*Settings!$A$21:$A$25)))+D276*SUMIFS(Settings!$C$21:$C$25,Settings!$A$21:$A$25,SUMPRODUCT(MAX((Settings!$A$21:$A$25&lt;=$A276)*Settings!$A$21:$A$25))))</f>
      </c>
      <c r="M276" s="32">
        <f>IF($A276="","",L276*IFERROR(INDEX(Settings!$B$30:$B$36,MATCH($B276,Settings!$A$30:$A$36,0)),0))</f>
      </c>
      <c r="N276" s="32">
        <f t="shared" si="21"/>
      </c>
      <c r="O276" s="33">
        <f t="shared" si="22"/>
      </c>
      <c r="P276" s="32">
        <f t="shared" si="23"/>
      </c>
      <c r="Q276" s="33">
        <f t="shared" si="24"/>
      </c>
    </row>
    <row r="277" spans="1:17" x14ac:dyDescent="0.25">
      <c r="A277" s="22"/>
      <c r="B277" s="5"/>
      <c r="C277" s="5"/>
      <c r="D277" s="5"/>
      <c r="E277" s="5"/>
      <c r="F277" s="5"/>
      <c r="G277" s="5"/>
      <c r="H277" s="23"/>
      <c r="I277" s="23"/>
      <c r="J277" s="5"/>
      <c r="K277" s="31">
        <f t="shared" si="20"/>
      </c>
      <c r="L277" s="32">
        <f>IF($A277="","",C277*SUMIFS(Settings!$B$21:$B$25,Settings!$A$21:$A$25,SUMPRODUCT(MAX((Settings!$A$21:$A$25&lt;=$A277)*Settings!$A$21:$A$25)))+D277*SUMIFS(Settings!$C$21:$C$25,Settings!$A$21:$A$25,SUMPRODUCT(MAX((Settings!$A$21:$A$25&lt;=$A277)*Settings!$A$21:$A$25))))</f>
      </c>
      <c r="M277" s="32">
        <f>IF($A277="","",L277*IFERROR(INDEX(Settings!$B$30:$B$36,MATCH($B277,Settings!$A$30:$A$36,0)),0))</f>
      </c>
      <c r="N277" s="32">
        <f t="shared" si="21"/>
      </c>
      <c r="O277" s="33">
        <f t="shared" si="22"/>
      </c>
      <c r="P277" s="32">
        <f t="shared" si="23"/>
      </c>
      <c r="Q277" s="33">
        <f t="shared" si="24"/>
      </c>
    </row>
    <row r="278" spans="1:17" x14ac:dyDescent="0.25">
      <c r="A278" s="22"/>
      <c r="B278" s="5"/>
      <c r="C278" s="5"/>
      <c r="D278" s="5"/>
      <c r="E278" s="5"/>
      <c r="F278" s="5"/>
      <c r="G278" s="5"/>
      <c r="H278" s="23"/>
      <c r="I278" s="23"/>
      <c r="J278" s="5"/>
      <c r="K278" s="31">
        <f t="shared" si="20"/>
      </c>
      <c r="L278" s="32">
        <f>IF($A278="","",C278*SUMIFS(Settings!$B$21:$B$25,Settings!$A$21:$A$25,SUMPRODUCT(MAX((Settings!$A$21:$A$25&lt;=$A278)*Settings!$A$21:$A$25)))+D278*SUMIFS(Settings!$C$21:$C$25,Settings!$A$21:$A$25,SUMPRODUCT(MAX((Settings!$A$21:$A$25&lt;=$A278)*Settings!$A$21:$A$25))))</f>
      </c>
      <c r="M278" s="32">
        <f>IF($A278="","",L278*IFERROR(INDEX(Settings!$B$30:$B$36,MATCH($B278,Settings!$A$30:$A$36,0)),0))</f>
      </c>
      <c r="N278" s="32">
        <f t="shared" si="21"/>
      </c>
      <c r="O278" s="33">
        <f t="shared" si="22"/>
      </c>
      <c r="P278" s="32">
        <f t="shared" si="23"/>
      </c>
      <c r="Q278" s="33">
        <f t="shared" si="24"/>
      </c>
    </row>
    <row r="279" spans="1:17" x14ac:dyDescent="0.25">
      <c r="A279" s="22"/>
      <c r="B279" s="5"/>
      <c r="C279" s="5"/>
      <c r="D279" s="5"/>
      <c r="E279" s="5"/>
      <c r="F279" s="5"/>
      <c r="G279" s="5"/>
      <c r="H279" s="23"/>
      <c r="I279" s="23"/>
      <c r="J279" s="5"/>
      <c r="K279" s="31">
        <f t="shared" si="20"/>
      </c>
      <c r="L279" s="32">
        <f>IF($A279="","",C279*SUMIFS(Settings!$B$21:$B$25,Settings!$A$21:$A$25,SUMPRODUCT(MAX((Settings!$A$21:$A$25&lt;=$A279)*Settings!$A$21:$A$25)))+D279*SUMIFS(Settings!$C$21:$C$25,Settings!$A$21:$A$25,SUMPRODUCT(MAX((Settings!$A$21:$A$25&lt;=$A279)*Settings!$A$21:$A$25))))</f>
      </c>
      <c r="M279" s="32">
        <f>IF($A279="","",L279*IFERROR(INDEX(Settings!$B$30:$B$36,MATCH($B279,Settings!$A$30:$A$36,0)),0))</f>
      </c>
      <c r="N279" s="32">
        <f t="shared" si="21"/>
      </c>
      <c r="O279" s="33">
        <f t="shared" si="22"/>
      </c>
      <c r="P279" s="32">
        <f t="shared" si="23"/>
      </c>
      <c r="Q279" s="33">
        <f t="shared" si="24"/>
      </c>
    </row>
    <row r="280" spans="1:17" x14ac:dyDescent="0.25">
      <c r="A280" s="22"/>
      <c r="B280" s="5"/>
      <c r="C280" s="5"/>
      <c r="D280" s="5"/>
      <c r="E280" s="5"/>
      <c r="F280" s="5"/>
      <c r="G280" s="5"/>
      <c r="H280" s="23"/>
      <c r="I280" s="23"/>
      <c r="J280" s="5"/>
      <c r="K280" s="31">
        <f t="shared" si="20"/>
      </c>
      <c r="L280" s="32">
        <f>IF($A280="","",C280*SUMIFS(Settings!$B$21:$B$25,Settings!$A$21:$A$25,SUMPRODUCT(MAX((Settings!$A$21:$A$25&lt;=$A280)*Settings!$A$21:$A$25)))+D280*SUMIFS(Settings!$C$21:$C$25,Settings!$A$21:$A$25,SUMPRODUCT(MAX((Settings!$A$21:$A$25&lt;=$A280)*Settings!$A$21:$A$25))))</f>
      </c>
      <c r="M280" s="32">
        <f>IF($A280="","",L280*IFERROR(INDEX(Settings!$B$30:$B$36,MATCH($B280,Settings!$A$30:$A$36,0)),0))</f>
      </c>
      <c r="N280" s="32">
        <f t="shared" si="21"/>
      </c>
      <c r="O280" s="33">
        <f t="shared" si="22"/>
      </c>
      <c r="P280" s="32">
        <f t="shared" si="23"/>
      </c>
      <c r="Q280" s="33">
        <f t="shared" si="24"/>
      </c>
    </row>
    <row r="281" spans="1:17" x14ac:dyDescent="0.25">
      <c r="A281" s="22"/>
      <c r="B281" s="5"/>
      <c r="C281" s="5"/>
      <c r="D281" s="5"/>
      <c r="E281" s="5"/>
      <c r="F281" s="5"/>
      <c r="G281" s="5"/>
      <c r="H281" s="23"/>
      <c r="I281" s="23"/>
      <c r="J281" s="5"/>
      <c r="K281" s="31">
        <f t="shared" si="20"/>
      </c>
      <c r="L281" s="32">
        <f>IF($A281="","",C281*SUMIFS(Settings!$B$21:$B$25,Settings!$A$21:$A$25,SUMPRODUCT(MAX((Settings!$A$21:$A$25&lt;=$A281)*Settings!$A$21:$A$25)))+D281*SUMIFS(Settings!$C$21:$C$25,Settings!$A$21:$A$25,SUMPRODUCT(MAX((Settings!$A$21:$A$25&lt;=$A281)*Settings!$A$21:$A$25))))</f>
      </c>
      <c r="M281" s="32">
        <f>IF($A281="","",L281*IFERROR(INDEX(Settings!$B$30:$B$36,MATCH($B281,Settings!$A$30:$A$36,0)),0))</f>
      </c>
      <c r="N281" s="32">
        <f t="shared" si="21"/>
      </c>
      <c r="O281" s="33">
        <f t="shared" si="22"/>
      </c>
      <c r="P281" s="32">
        <f t="shared" si="23"/>
      </c>
      <c r="Q281" s="33">
        <f t="shared" si="24"/>
      </c>
    </row>
    <row r="282" spans="1:17" x14ac:dyDescent="0.25">
      <c r="A282" s="22"/>
      <c r="B282" s="5"/>
      <c r="C282" s="5"/>
      <c r="D282" s="5"/>
      <c r="E282" s="5"/>
      <c r="F282" s="5"/>
      <c r="G282" s="5"/>
      <c r="H282" s="23"/>
      <c r="I282" s="23"/>
      <c r="J282" s="5"/>
      <c r="K282" s="31">
        <f t="shared" si="20"/>
      </c>
      <c r="L282" s="32">
        <f>IF($A282="","",C282*SUMIFS(Settings!$B$21:$B$25,Settings!$A$21:$A$25,SUMPRODUCT(MAX((Settings!$A$21:$A$25&lt;=$A282)*Settings!$A$21:$A$25)))+D282*SUMIFS(Settings!$C$21:$C$25,Settings!$A$21:$A$25,SUMPRODUCT(MAX((Settings!$A$21:$A$25&lt;=$A282)*Settings!$A$21:$A$25))))</f>
      </c>
      <c r="M282" s="32">
        <f>IF($A282="","",L282*IFERROR(INDEX(Settings!$B$30:$B$36,MATCH($B282,Settings!$A$30:$A$36,0)),0))</f>
      </c>
      <c r="N282" s="32">
        <f t="shared" si="21"/>
      </c>
      <c r="O282" s="33">
        <f t="shared" si="22"/>
      </c>
      <c r="P282" s="32">
        <f t="shared" si="23"/>
      </c>
      <c r="Q282" s="33">
        <f t="shared" si="24"/>
      </c>
    </row>
    <row r="283" spans="1:17" x14ac:dyDescent="0.25">
      <c r="A283" s="22"/>
      <c r="B283" s="5"/>
      <c r="C283" s="5"/>
      <c r="D283" s="5"/>
      <c r="E283" s="5"/>
      <c r="F283" s="5"/>
      <c r="G283" s="5"/>
      <c r="H283" s="23"/>
      <c r="I283" s="23"/>
      <c r="J283" s="5"/>
      <c r="K283" s="31">
        <f t="shared" si="20"/>
      </c>
      <c r="L283" s="32">
        <f>IF($A283="","",C283*SUMIFS(Settings!$B$21:$B$25,Settings!$A$21:$A$25,SUMPRODUCT(MAX((Settings!$A$21:$A$25&lt;=$A283)*Settings!$A$21:$A$25)))+D283*SUMIFS(Settings!$C$21:$C$25,Settings!$A$21:$A$25,SUMPRODUCT(MAX((Settings!$A$21:$A$25&lt;=$A283)*Settings!$A$21:$A$25))))</f>
      </c>
      <c r="M283" s="32">
        <f>IF($A283="","",L283*IFERROR(INDEX(Settings!$B$30:$B$36,MATCH($B283,Settings!$A$30:$A$36,0)),0))</f>
      </c>
      <c r="N283" s="32">
        <f t="shared" si="21"/>
      </c>
      <c r="O283" s="33">
        <f t="shared" si="22"/>
      </c>
      <c r="P283" s="32">
        <f t="shared" si="23"/>
      </c>
      <c r="Q283" s="33">
        <f t="shared" si="24"/>
      </c>
    </row>
    <row r="284" spans="1:17" x14ac:dyDescent="0.25">
      <c r="A284" s="22"/>
      <c r="B284" s="5"/>
      <c r="C284" s="5"/>
      <c r="D284" s="5"/>
      <c r="E284" s="5"/>
      <c r="F284" s="5"/>
      <c r="G284" s="5"/>
      <c r="H284" s="23"/>
      <c r="I284" s="23"/>
      <c r="J284" s="5"/>
      <c r="K284" s="31">
        <f t="shared" si="20"/>
      </c>
      <c r="L284" s="32">
        <f>IF($A284="","",C284*SUMIFS(Settings!$B$21:$B$25,Settings!$A$21:$A$25,SUMPRODUCT(MAX((Settings!$A$21:$A$25&lt;=$A284)*Settings!$A$21:$A$25)))+D284*SUMIFS(Settings!$C$21:$C$25,Settings!$A$21:$A$25,SUMPRODUCT(MAX((Settings!$A$21:$A$25&lt;=$A284)*Settings!$A$21:$A$25))))</f>
      </c>
      <c r="M284" s="32">
        <f>IF($A284="","",L284*IFERROR(INDEX(Settings!$B$30:$B$36,MATCH($B284,Settings!$A$30:$A$36,0)),0))</f>
      </c>
      <c r="N284" s="32">
        <f t="shared" si="21"/>
      </c>
      <c r="O284" s="33">
        <f t="shared" si="22"/>
      </c>
      <c r="P284" s="32">
        <f t="shared" si="23"/>
      </c>
      <c r="Q284" s="33">
        <f t="shared" si="24"/>
      </c>
    </row>
    <row r="285" spans="1:17" x14ac:dyDescent="0.25">
      <c r="A285" s="22"/>
      <c r="B285" s="5"/>
      <c r="C285" s="5"/>
      <c r="D285" s="5"/>
      <c r="E285" s="5"/>
      <c r="F285" s="5"/>
      <c r="G285" s="5"/>
      <c r="H285" s="23"/>
      <c r="I285" s="23"/>
      <c r="J285" s="5"/>
      <c r="K285" s="31">
        <f t="shared" si="20"/>
      </c>
      <c r="L285" s="32">
        <f>IF($A285="","",C285*SUMIFS(Settings!$B$21:$B$25,Settings!$A$21:$A$25,SUMPRODUCT(MAX((Settings!$A$21:$A$25&lt;=$A285)*Settings!$A$21:$A$25)))+D285*SUMIFS(Settings!$C$21:$C$25,Settings!$A$21:$A$25,SUMPRODUCT(MAX((Settings!$A$21:$A$25&lt;=$A285)*Settings!$A$21:$A$25))))</f>
      </c>
      <c r="M285" s="32">
        <f>IF($A285="","",L285*IFERROR(INDEX(Settings!$B$30:$B$36,MATCH($B285,Settings!$A$30:$A$36,0)),0))</f>
      </c>
      <c r="N285" s="32">
        <f t="shared" si="21"/>
      </c>
      <c r="O285" s="33">
        <f t="shared" si="22"/>
      </c>
      <c r="P285" s="32">
        <f t="shared" si="23"/>
      </c>
      <c r="Q285" s="33">
        <f t="shared" si="24"/>
      </c>
    </row>
    <row r="286" spans="1:17" x14ac:dyDescent="0.25">
      <c r="A286" s="22"/>
      <c r="B286" s="5"/>
      <c r="C286" s="5"/>
      <c r="D286" s="5"/>
      <c r="E286" s="5"/>
      <c r="F286" s="5"/>
      <c r="G286" s="5"/>
      <c r="H286" s="23"/>
      <c r="I286" s="23"/>
      <c r="J286" s="5"/>
      <c r="K286" s="31">
        <f t="shared" si="20"/>
      </c>
      <c r="L286" s="32">
        <f>IF($A286="","",C286*SUMIFS(Settings!$B$21:$B$25,Settings!$A$21:$A$25,SUMPRODUCT(MAX((Settings!$A$21:$A$25&lt;=$A286)*Settings!$A$21:$A$25)))+D286*SUMIFS(Settings!$C$21:$C$25,Settings!$A$21:$A$25,SUMPRODUCT(MAX((Settings!$A$21:$A$25&lt;=$A286)*Settings!$A$21:$A$25))))</f>
      </c>
      <c r="M286" s="32">
        <f>IF($A286="","",L286*IFERROR(INDEX(Settings!$B$30:$B$36,MATCH($B286,Settings!$A$30:$A$36,0)),0))</f>
      </c>
      <c r="N286" s="32">
        <f t="shared" si="21"/>
      </c>
      <c r="O286" s="33">
        <f t="shared" si="22"/>
      </c>
      <c r="P286" s="32">
        <f t="shared" si="23"/>
      </c>
      <c r="Q286" s="33">
        <f t="shared" si="24"/>
      </c>
    </row>
    <row r="287" spans="1:17" x14ac:dyDescent="0.25">
      <c r="A287" s="22"/>
      <c r="B287" s="5"/>
      <c r="C287" s="5"/>
      <c r="D287" s="5"/>
      <c r="E287" s="5"/>
      <c r="F287" s="5"/>
      <c r="G287" s="5"/>
      <c r="H287" s="23"/>
      <c r="I287" s="23"/>
      <c r="J287" s="5"/>
      <c r="K287" s="31">
        <f t="shared" si="20"/>
      </c>
      <c r="L287" s="32">
        <f>IF($A287="","",C287*SUMIFS(Settings!$B$21:$B$25,Settings!$A$21:$A$25,SUMPRODUCT(MAX((Settings!$A$21:$A$25&lt;=$A287)*Settings!$A$21:$A$25)))+D287*SUMIFS(Settings!$C$21:$C$25,Settings!$A$21:$A$25,SUMPRODUCT(MAX((Settings!$A$21:$A$25&lt;=$A287)*Settings!$A$21:$A$25))))</f>
      </c>
      <c r="M287" s="32">
        <f>IF($A287="","",L287*IFERROR(INDEX(Settings!$B$30:$B$36,MATCH($B287,Settings!$A$30:$A$36,0)),0))</f>
      </c>
      <c r="N287" s="32">
        <f t="shared" si="21"/>
      </c>
      <c r="O287" s="33">
        <f t="shared" si="22"/>
      </c>
      <c r="P287" s="32">
        <f t="shared" si="23"/>
      </c>
      <c r="Q287" s="33">
        <f t="shared" si="24"/>
      </c>
    </row>
    <row r="288" spans="1:17" x14ac:dyDescent="0.25">
      <c r="A288" s="22"/>
      <c r="B288" s="5"/>
      <c r="C288" s="5"/>
      <c r="D288" s="5"/>
      <c r="E288" s="5"/>
      <c r="F288" s="5"/>
      <c r="G288" s="5"/>
      <c r="H288" s="23"/>
      <c r="I288" s="23"/>
      <c r="J288" s="5"/>
      <c r="K288" s="31">
        <f t="shared" si="20"/>
      </c>
      <c r="L288" s="32">
        <f>IF($A288="","",C288*SUMIFS(Settings!$B$21:$B$25,Settings!$A$21:$A$25,SUMPRODUCT(MAX((Settings!$A$21:$A$25&lt;=$A288)*Settings!$A$21:$A$25)))+D288*SUMIFS(Settings!$C$21:$C$25,Settings!$A$21:$A$25,SUMPRODUCT(MAX((Settings!$A$21:$A$25&lt;=$A288)*Settings!$A$21:$A$25))))</f>
      </c>
      <c r="M288" s="32">
        <f>IF($A288="","",L288*IFERROR(INDEX(Settings!$B$30:$B$36,MATCH($B288,Settings!$A$30:$A$36,0)),0))</f>
      </c>
      <c r="N288" s="32">
        <f t="shared" si="21"/>
      </c>
      <c r="O288" s="33">
        <f t="shared" si="22"/>
      </c>
      <c r="P288" s="32">
        <f t="shared" si="23"/>
      </c>
      <c r="Q288" s="33">
        <f t="shared" si="24"/>
      </c>
    </row>
    <row r="289" spans="1:17" x14ac:dyDescent="0.25">
      <c r="A289" s="22"/>
      <c r="B289" s="5"/>
      <c r="C289" s="5"/>
      <c r="D289" s="5"/>
      <c r="E289" s="5"/>
      <c r="F289" s="5"/>
      <c r="G289" s="5"/>
      <c r="H289" s="23"/>
      <c r="I289" s="23"/>
      <c r="J289" s="5"/>
      <c r="K289" s="31">
        <f t="shared" si="20"/>
      </c>
      <c r="L289" s="32">
        <f>IF($A289="","",C289*SUMIFS(Settings!$B$21:$B$25,Settings!$A$21:$A$25,SUMPRODUCT(MAX((Settings!$A$21:$A$25&lt;=$A289)*Settings!$A$21:$A$25)))+D289*SUMIFS(Settings!$C$21:$C$25,Settings!$A$21:$A$25,SUMPRODUCT(MAX((Settings!$A$21:$A$25&lt;=$A289)*Settings!$A$21:$A$25))))</f>
      </c>
      <c r="M289" s="32">
        <f>IF($A289="","",L289*IFERROR(INDEX(Settings!$B$30:$B$36,MATCH($B289,Settings!$A$30:$A$36,0)),0))</f>
      </c>
      <c r="N289" s="32">
        <f t="shared" si="21"/>
      </c>
      <c r="O289" s="33">
        <f t="shared" si="22"/>
      </c>
      <c r="P289" s="32">
        <f t="shared" si="23"/>
      </c>
      <c r="Q289" s="33">
        <f t="shared" si="24"/>
      </c>
    </row>
    <row r="290" spans="1:17" x14ac:dyDescent="0.25">
      <c r="A290" s="22"/>
      <c r="B290" s="5"/>
      <c r="C290" s="5"/>
      <c r="D290" s="5"/>
      <c r="E290" s="5"/>
      <c r="F290" s="5"/>
      <c r="G290" s="5"/>
      <c r="H290" s="23"/>
      <c r="I290" s="23"/>
      <c r="J290" s="5"/>
      <c r="K290" s="31">
        <f t="shared" si="20"/>
      </c>
      <c r="L290" s="32">
        <f>IF($A290="","",C290*SUMIFS(Settings!$B$21:$B$25,Settings!$A$21:$A$25,SUMPRODUCT(MAX((Settings!$A$21:$A$25&lt;=$A290)*Settings!$A$21:$A$25)))+D290*SUMIFS(Settings!$C$21:$C$25,Settings!$A$21:$A$25,SUMPRODUCT(MAX((Settings!$A$21:$A$25&lt;=$A290)*Settings!$A$21:$A$25))))</f>
      </c>
      <c r="M290" s="32">
        <f>IF($A290="","",L290*IFERROR(INDEX(Settings!$B$30:$B$36,MATCH($B290,Settings!$A$30:$A$36,0)),0))</f>
      </c>
      <c r="N290" s="32">
        <f t="shared" si="21"/>
      </c>
      <c r="O290" s="33">
        <f t="shared" si="22"/>
      </c>
      <c r="P290" s="32">
        <f t="shared" si="23"/>
      </c>
      <c r="Q290" s="33">
        <f t="shared" si="24"/>
      </c>
    </row>
    <row r="291" spans="1:17" x14ac:dyDescent="0.25">
      <c r="A291" s="22"/>
      <c r="B291" s="5"/>
      <c r="C291" s="5"/>
      <c r="D291" s="5"/>
      <c r="E291" s="5"/>
      <c r="F291" s="5"/>
      <c r="G291" s="5"/>
      <c r="H291" s="23"/>
      <c r="I291" s="23"/>
      <c r="J291" s="5"/>
      <c r="K291" s="31">
        <f t="shared" si="20"/>
      </c>
      <c r="L291" s="32">
        <f>IF($A291="","",C291*SUMIFS(Settings!$B$21:$B$25,Settings!$A$21:$A$25,SUMPRODUCT(MAX((Settings!$A$21:$A$25&lt;=$A291)*Settings!$A$21:$A$25)))+D291*SUMIFS(Settings!$C$21:$C$25,Settings!$A$21:$A$25,SUMPRODUCT(MAX((Settings!$A$21:$A$25&lt;=$A291)*Settings!$A$21:$A$25))))</f>
      </c>
      <c r="M291" s="32">
        <f>IF($A291="","",L291*IFERROR(INDEX(Settings!$B$30:$B$36,MATCH($B291,Settings!$A$30:$A$36,0)),0))</f>
      </c>
      <c r="N291" s="32">
        <f t="shared" si="21"/>
      </c>
      <c r="O291" s="33">
        <f t="shared" si="22"/>
      </c>
      <c r="P291" s="32">
        <f t="shared" si="23"/>
      </c>
      <c r="Q291" s="33">
        <f t="shared" si="24"/>
      </c>
    </row>
    <row r="292" spans="1:17" x14ac:dyDescent="0.25">
      <c r="A292" s="22"/>
      <c r="B292" s="5"/>
      <c r="C292" s="5"/>
      <c r="D292" s="5"/>
      <c r="E292" s="5"/>
      <c r="F292" s="5"/>
      <c r="G292" s="5"/>
      <c r="H292" s="23"/>
      <c r="I292" s="23"/>
      <c r="J292" s="5"/>
      <c r="K292" s="31">
        <f t="shared" si="20"/>
      </c>
      <c r="L292" s="32">
        <f>IF($A292="","",C292*SUMIFS(Settings!$B$21:$B$25,Settings!$A$21:$A$25,SUMPRODUCT(MAX((Settings!$A$21:$A$25&lt;=$A292)*Settings!$A$21:$A$25)))+D292*SUMIFS(Settings!$C$21:$C$25,Settings!$A$21:$A$25,SUMPRODUCT(MAX((Settings!$A$21:$A$25&lt;=$A292)*Settings!$A$21:$A$25))))</f>
      </c>
      <c r="M292" s="32">
        <f>IF($A292="","",L292*IFERROR(INDEX(Settings!$B$30:$B$36,MATCH($B292,Settings!$A$30:$A$36,0)),0))</f>
      </c>
      <c r="N292" s="32">
        <f t="shared" si="21"/>
      </c>
      <c r="O292" s="33">
        <f t="shared" si="22"/>
      </c>
      <c r="P292" s="32">
        <f t="shared" si="23"/>
      </c>
      <c r="Q292" s="33">
        <f t="shared" si="24"/>
      </c>
    </row>
    <row r="293" spans="1:17" x14ac:dyDescent="0.25">
      <c r="A293" s="22"/>
      <c r="B293" s="5"/>
      <c r="C293" s="5"/>
      <c r="D293" s="5"/>
      <c r="E293" s="5"/>
      <c r="F293" s="5"/>
      <c r="G293" s="5"/>
      <c r="H293" s="23"/>
      <c r="I293" s="23"/>
      <c r="J293" s="5"/>
      <c r="K293" s="31">
        <f t="shared" si="20"/>
      </c>
      <c r="L293" s="32">
        <f>IF($A293="","",C293*SUMIFS(Settings!$B$21:$B$25,Settings!$A$21:$A$25,SUMPRODUCT(MAX((Settings!$A$21:$A$25&lt;=$A293)*Settings!$A$21:$A$25)))+D293*SUMIFS(Settings!$C$21:$C$25,Settings!$A$21:$A$25,SUMPRODUCT(MAX((Settings!$A$21:$A$25&lt;=$A293)*Settings!$A$21:$A$25))))</f>
      </c>
      <c r="M293" s="32">
        <f>IF($A293="","",L293*IFERROR(INDEX(Settings!$B$30:$B$36,MATCH($B293,Settings!$A$30:$A$36,0)),0))</f>
      </c>
      <c r="N293" s="32">
        <f t="shared" si="21"/>
      </c>
      <c r="O293" s="33">
        <f t="shared" si="22"/>
      </c>
      <c r="P293" s="32">
        <f t="shared" si="23"/>
      </c>
      <c r="Q293" s="33">
        <f t="shared" si="24"/>
      </c>
    </row>
    <row r="294" spans="1:17" x14ac:dyDescent="0.25">
      <c r="A294" s="22"/>
      <c r="B294" s="5"/>
      <c r="C294" s="5"/>
      <c r="D294" s="5"/>
      <c r="E294" s="5"/>
      <c r="F294" s="5"/>
      <c r="G294" s="5"/>
      <c r="H294" s="23"/>
      <c r="I294" s="23"/>
      <c r="J294" s="5"/>
      <c r="K294" s="31">
        <f t="shared" si="20"/>
      </c>
      <c r="L294" s="32">
        <f>IF($A294="","",C294*SUMIFS(Settings!$B$21:$B$25,Settings!$A$21:$A$25,SUMPRODUCT(MAX((Settings!$A$21:$A$25&lt;=$A294)*Settings!$A$21:$A$25)))+D294*SUMIFS(Settings!$C$21:$C$25,Settings!$A$21:$A$25,SUMPRODUCT(MAX((Settings!$A$21:$A$25&lt;=$A294)*Settings!$A$21:$A$25))))</f>
      </c>
      <c r="M294" s="32">
        <f>IF($A294="","",L294*IFERROR(INDEX(Settings!$B$30:$B$36,MATCH($B294,Settings!$A$30:$A$36,0)),0))</f>
      </c>
      <c r="N294" s="32">
        <f t="shared" si="21"/>
      </c>
      <c r="O294" s="33">
        <f t="shared" si="22"/>
      </c>
      <c r="P294" s="32">
        <f t="shared" si="23"/>
      </c>
      <c r="Q294" s="33">
        <f t="shared" si="24"/>
      </c>
    </row>
    <row r="295" spans="1:17" x14ac:dyDescent="0.25">
      <c r="A295" s="22"/>
      <c r="B295" s="5"/>
      <c r="C295" s="5"/>
      <c r="D295" s="5"/>
      <c r="E295" s="5"/>
      <c r="F295" s="5"/>
      <c r="G295" s="5"/>
      <c r="H295" s="23"/>
      <c r="I295" s="23"/>
      <c r="J295" s="5"/>
      <c r="K295" s="31">
        <f t="shared" si="20"/>
      </c>
      <c r="L295" s="32">
        <f>IF($A295="","",C295*SUMIFS(Settings!$B$21:$B$25,Settings!$A$21:$A$25,SUMPRODUCT(MAX((Settings!$A$21:$A$25&lt;=$A295)*Settings!$A$21:$A$25)))+D295*SUMIFS(Settings!$C$21:$C$25,Settings!$A$21:$A$25,SUMPRODUCT(MAX((Settings!$A$21:$A$25&lt;=$A295)*Settings!$A$21:$A$25))))</f>
      </c>
      <c r="M295" s="32">
        <f>IF($A295="","",L295*IFERROR(INDEX(Settings!$B$30:$B$36,MATCH($B295,Settings!$A$30:$A$36,0)),0))</f>
      </c>
      <c r="N295" s="32">
        <f t="shared" si="21"/>
      </c>
      <c r="O295" s="33">
        <f t="shared" si="22"/>
      </c>
      <c r="P295" s="32">
        <f t="shared" si="23"/>
      </c>
      <c r="Q295" s="33">
        <f t="shared" si="24"/>
      </c>
    </row>
    <row r="296" spans="1:17" x14ac:dyDescent="0.25">
      <c r="A296" s="22"/>
      <c r="B296" s="5"/>
      <c r="C296" s="5"/>
      <c r="D296" s="5"/>
      <c r="E296" s="5"/>
      <c r="F296" s="5"/>
      <c r="G296" s="5"/>
      <c r="H296" s="23"/>
      <c r="I296" s="23"/>
      <c r="J296" s="5"/>
      <c r="K296" s="31">
        <f t="shared" si="20"/>
      </c>
      <c r="L296" s="32">
        <f>IF($A296="","",C296*SUMIFS(Settings!$B$21:$B$25,Settings!$A$21:$A$25,SUMPRODUCT(MAX((Settings!$A$21:$A$25&lt;=$A296)*Settings!$A$21:$A$25)))+D296*SUMIFS(Settings!$C$21:$C$25,Settings!$A$21:$A$25,SUMPRODUCT(MAX((Settings!$A$21:$A$25&lt;=$A296)*Settings!$A$21:$A$25))))</f>
      </c>
      <c r="M296" s="32">
        <f>IF($A296="","",L296*IFERROR(INDEX(Settings!$B$30:$B$36,MATCH($B296,Settings!$A$30:$A$36,0)),0))</f>
      </c>
      <c r="N296" s="32">
        <f t="shared" si="21"/>
      </c>
      <c r="O296" s="33">
        <f t="shared" si="22"/>
      </c>
      <c r="P296" s="32">
        <f t="shared" si="23"/>
      </c>
      <c r="Q296" s="33">
        <f t="shared" si="24"/>
      </c>
    </row>
    <row r="297" spans="1:17" x14ac:dyDescent="0.25">
      <c r="A297" s="22"/>
      <c r="B297" s="5"/>
      <c r="C297" s="5"/>
      <c r="D297" s="5"/>
      <c r="E297" s="5"/>
      <c r="F297" s="5"/>
      <c r="G297" s="5"/>
      <c r="H297" s="23"/>
      <c r="I297" s="23"/>
      <c r="J297" s="5"/>
      <c r="K297" s="31">
        <f t="shared" si="20"/>
      </c>
      <c r="L297" s="32">
        <f>IF($A297="","",C297*SUMIFS(Settings!$B$21:$B$25,Settings!$A$21:$A$25,SUMPRODUCT(MAX((Settings!$A$21:$A$25&lt;=$A297)*Settings!$A$21:$A$25)))+D297*SUMIFS(Settings!$C$21:$C$25,Settings!$A$21:$A$25,SUMPRODUCT(MAX((Settings!$A$21:$A$25&lt;=$A297)*Settings!$A$21:$A$25))))</f>
      </c>
      <c r="M297" s="32">
        <f>IF($A297="","",L297*IFERROR(INDEX(Settings!$B$30:$B$36,MATCH($B297,Settings!$A$30:$A$36,0)),0))</f>
      </c>
      <c r="N297" s="32">
        <f t="shared" si="21"/>
      </c>
      <c r="O297" s="33">
        <f t="shared" si="22"/>
      </c>
      <c r="P297" s="32">
        <f t="shared" si="23"/>
      </c>
      <c r="Q297" s="33">
        <f t="shared" si="24"/>
      </c>
    </row>
    <row r="298" spans="1:17" x14ac:dyDescent="0.25">
      <c r="A298" s="22"/>
      <c r="B298" s="5"/>
      <c r="C298" s="5"/>
      <c r="D298" s="5"/>
      <c r="E298" s="5"/>
      <c r="F298" s="5"/>
      <c r="G298" s="5"/>
      <c r="H298" s="23"/>
      <c r="I298" s="23"/>
      <c r="J298" s="5"/>
      <c r="K298" s="31">
        <f t="shared" si="20"/>
      </c>
      <c r="L298" s="32">
        <f>IF($A298="","",C298*SUMIFS(Settings!$B$21:$B$25,Settings!$A$21:$A$25,SUMPRODUCT(MAX((Settings!$A$21:$A$25&lt;=$A298)*Settings!$A$21:$A$25)))+D298*SUMIFS(Settings!$C$21:$C$25,Settings!$A$21:$A$25,SUMPRODUCT(MAX((Settings!$A$21:$A$25&lt;=$A298)*Settings!$A$21:$A$25))))</f>
      </c>
      <c r="M298" s="32">
        <f>IF($A298="","",L298*IFERROR(INDEX(Settings!$B$30:$B$36,MATCH($B298,Settings!$A$30:$A$36,0)),0))</f>
      </c>
      <c r="N298" s="32">
        <f t="shared" si="21"/>
      </c>
      <c r="O298" s="33">
        <f t="shared" si="22"/>
      </c>
      <c r="P298" s="32">
        <f t="shared" si="23"/>
      </c>
      <c r="Q298" s="33">
        <f t="shared" si="24"/>
      </c>
    </row>
    <row r="299" spans="1:17" x14ac:dyDescent="0.25">
      <c r="A299" s="22"/>
      <c r="B299" s="5"/>
      <c r="C299" s="5"/>
      <c r="D299" s="5"/>
      <c r="E299" s="5"/>
      <c r="F299" s="5"/>
      <c r="G299" s="5"/>
      <c r="H299" s="23"/>
      <c r="I299" s="23"/>
      <c r="J299" s="5"/>
      <c r="K299" s="31">
        <f t="shared" si="20"/>
      </c>
      <c r="L299" s="32">
        <f>IF($A299="","",C299*SUMIFS(Settings!$B$21:$B$25,Settings!$A$21:$A$25,SUMPRODUCT(MAX((Settings!$A$21:$A$25&lt;=$A299)*Settings!$A$21:$A$25)))+D299*SUMIFS(Settings!$C$21:$C$25,Settings!$A$21:$A$25,SUMPRODUCT(MAX((Settings!$A$21:$A$25&lt;=$A299)*Settings!$A$21:$A$25))))</f>
      </c>
      <c r="M299" s="32">
        <f>IF($A299="","",L299*IFERROR(INDEX(Settings!$B$30:$B$36,MATCH($B299,Settings!$A$30:$A$36,0)),0))</f>
      </c>
      <c r="N299" s="32">
        <f t="shared" si="21"/>
      </c>
      <c r="O299" s="33">
        <f t="shared" si="22"/>
      </c>
      <c r="P299" s="32">
        <f t="shared" si="23"/>
      </c>
      <c r="Q299" s="33">
        <f t="shared" si="24"/>
      </c>
    </row>
    <row r="300" spans="1:17" x14ac:dyDescent="0.25">
      <c r="A300" s="22"/>
      <c r="B300" s="5"/>
      <c r="C300" s="5"/>
      <c r="D300" s="5"/>
      <c r="E300" s="5"/>
      <c r="F300" s="5"/>
      <c r="G300" s="5"/>
      <c r="H300" s="23"/>
      <c r="I300" s="23"/>
      <c r="J300" s="5"/>
      <c r="K300" s="31">
        <f t="shared" si="20"/>
      </c>
      <c r="L300" s="32">
        <f>IF($A300="","",C300*SUMIFS(Settings!$B$21:$B$25,Settings!$A$21:$A$25,SUMPRODUCT(MAX((Settings!$A$21:$A$25&lt;=$A300)*Settings!$A$21:$A$25)))+D300*SUMIFS(Settings!$C$21:$C$25,Settings!$A$21:$A$25,SUMPRODUCT(MAX((Settings!$A$21:$A$25&lt;=$A300)*Settings!$A$21:$A$25))))</f>
      </c>
      <c r="M300" s="32">
        <f>IF($A300="","",L300*IFERROR(INDEX(Settings!$B$30:$B$36,MATCH($B300,Settings!$A$30:$A$36,0)),0))</f>
      </c>
      <c r="N300" s="32">
        <f t="shared" si="21"/>
      </c>
      <c r="O300" s="33">
        <f t="shared" si="22"/>
      </c>
      <c r="P300" s="32">
        <f t="shared" si="23"/>
      </c>
      <c r="Q300" s="33">
        <f t="shared" si="24"/>
      </c>
    </row>
    <row r="301" spans="1:17" x14ac:dyDescent="0.25">
      <c r="A301" s="22"/>
      <c r="B301" s="5"/>
      <c r="C301" s="5"/>
      <c r="D301" s="5"/>
      <c r="E301" s="5"/>
      <c r="F301" s="5"/>
      <c r="G301" s="5"/>
      <c r="H301" s="23"/>
      <c r="I301" s="23"/>
      <c r="J301" s="5"/>
      <c r="K301" s="31">
        <f t="shared" si="20"/>
      </c>
      <c r="L301" s="32">
        <f>IF($A301="","",C301*SUMIFS(Settings!$B$21:$B$25,Settings!$A$21:$A$25,SUMPRODUCT(MAX((Settings!$A$21:$A$25&lt;=$A301)*Settings!$A$21:$A$25)))+D301*SUMIFS(Settings!$C$21:$C$25,Settings!$A$21:$A$25,SUMPRODUCT(MAX((Settings!$A$21:$A$25&lt;=$A301)*Settings!$A$21:$A$25))))</f>
      </c>
      <c r="M301" s="32">
        <f>IF($A301="","",L301*IFERROR(INDEX(Settings!$B$30:$B$36,MATCH($B301,Settings!$A$30:$A$36,0)),0))</f>
      </c>
      <c r="N301" s="32">
        <f t="shared" si="21"/>
      </c>
      <c r="O301" s="33">
        <f t="shared" si="22"/>
      </c>
      <c r="P301" s="32">
        <f t="shared" si="23"/>
      </c>
      <c r="Q301" s="33">
        <f t="shared" si="24"/>
      </c>
    </row>
    <row r="302" spans="1:17" x14ac:dyDescent="0.25">
      <c r="A302" s="22"/>
      <c r="B302" s="5"/>
      <c r="C302" s="5"/>
      <c r="D302" s="5"/>
      <c r="E302" s="5"/>
      <c r="F302" s="5"/>
      <c r="G302" s="5"/>
      <c r="H302" s="23"/>
      <c r="I302" s="23"/>
      <c r="J302" s="5"/>
      <c r="K302" s="31">
        <f t="shared" si="20"/>
      </c>
      <c r="L302" s="32">
        <f>IF($A302="","",C302*SUMIFS(Settings!$B$21:$B$25,Settings!$A$21:$A$25,SUMPRODUCT(MAX((Settings!$A$21:$A$25&lt;=$A302)*Settings!$A$21:$A$25)))+D302*SUMIFS(Settings!$C$21:$C$25,Settings!$A$21:$A$25,SUMPRODUCT(MAX((Settings!$A$21:$A$25&lt;=$A302)*Settings!$A$21:$A$25))))</f>
      </c>
      <c r="M302" s="32">
        <f>IF($A302="","",L302*IFERROR(INDEX(Settings!$B$30:$B$36,MATCH($B302,Settings!$A$30:$A$36,0)),0))</f>
      </c>
      <c r="N302" s="32">
        <f t="shared" si="21"/>
      </c>
      <c r="O302" s="33">
        <f t="shared" si="22"/>
      </c>
      <c r="P302" s="32">
        <f t="shared" si="23"/>
      </c>
      <c r="Q302" s="33">
        <f t="shared" si="24"/>
      </c>
    </row>
    <row r="303" spans="1:17" x14ac:dyDescent="0.25">
      <c r="A303" s="22"/>
      <c r="B303" s="5"/>
      <c r="C303" s="5"/>
      <c r="D303" s="5"/>
      <c r="E303" s="5"/>
      <c r="F303" s="5"/>
      <c r="G303" s="5"/>
      <c r="H303" s="23"/>
      <c r="I303" s="23"/>
      <c r="J303" s="5"/>
      <c r="K303" s="31">
        <f t="shared" si="20"/>
      </c>
      <c r="L303" s="32">
        <f>IF($A303="","",C303*SUMIFS(Settings!$B$21:$B$25,Settings!$A$21:$A$25,SUMPRODUCT(MAX((Settings!$A$21:$A$25&lt;=$A303)*Settings!$A$21:$A$25)))+D303*SUMIFS(Settings!$C$21:$C$25,Settings!$A$21:$A$25,SUMPRODUCT(MAX((Settings!$A$21:$A$25&lt;=$A303)*Settings!$A$21:$A$25))))</f>
      </c>
      <c r="M303" s="32">
        <f>IF($A303="","",L303*IFERROR(INDEX(Settings!$B$30:$B$36,MATCH($B303,Settings!$A$30:$A$36,0)),0))</f>
      </c>
      <c r="N303" s="32">
        <f t="shared" si="21"/>
      </c>
      <c r="O303" s="33">
        <f t="shared" si="22"/>
      </c>
      <c r="P303" s="32">
        <f t="shared" si="23"/>
      </c>
      <c r="Q303" s="33">
        <f t="shared" si="24"/>
      </c>
    </row>
    <row r="304" spans="1:17" x14ac:dyDescent="0.25">
      <c r="A304" s="22"/>
      <c r="B304" s="5"/>
      <c r="C304" s="5"/>
      <c r="D304" s="5"/>
      <c r="E304" s="5"/>
      <c r="F304" s="5"/>
      <c r="G304" s="5"/>
      <c r="H304" s="23"/>
      <c r="I304" s="23"/>
      <c r="J304" s="5"/>
      <c r="K304" s="31">
        <f t="shared" si="20"/>
      </c>
      <c r="L304" s="32">
        <f>IF($A304="","",C304*SUMIFS(Settings!$B$21:$B$25,Settings!$A$21:$A$25,SUMPRODUCT(MAX((Settings!$A$21:$A$25&lt;=$A304)*Settings!$A$21:$A$25)))+D304*SUMIFS(Settings!$C$21:$C$25,Settings!$A$21:$A$25,SUMPRODUCT(MAX((Settings!$A$21:$A$25&lt;=$A304)*Settings!$A$21:$A$25))))</f>
      </c>
      <c r="M304" s="32">
        <f>IF($A304="","",L304*IFERROR(INDEX(Settings!$B$30:$B$36,MATCH($B304,Settings!$A$30:$A$36,0)),0))</f>
      </c>
      <c r="N304" s="32">
        <f t="shared" si="21"/>
      </c>
      <c r="O304" s="33">
        <f t="shared" si="22"/>
      </c>
      <c r="P304" s="32">
        <f t="shared" si="23"/>
      </c>
      <c r="Q304" s="33">
        <f t="shared" si="24"/>
      </c>
    </row>
    <row r="305" spans="1:17" x14ac:dyDescent="0.25">
      <c r="A305" s="22"/>
      <c r="B305" s="5"/>
      <c r="C305" s="5"/>
      <c r="D305" s="5"/>
      <c r="E305" s="5"/>
      <c r="F305" s="5"/>
      <c r="G305" s="5"/>
      <c r="H305" s="23"/>
      <c r="I305" s="23"/>
      <c r="J305" s="5"/>
      <c r="K305" s="31">
        <f t="shared" si="20"/>
      </c>
      <c r="L305" s="32">
        <f>IF($A305="","",C305*SUMIFS(Settings!$B$21:$B$25,Settings!$A$21:$A$25,SUMPRODUCT(MAX((Settings!$A$21:$A$25&lt;=$A305)*Settings!$A$21:$A$25)))+D305*SUMIFS(Settings!$C$21:$C$25,Settings!$A$21:$A$25,SUMPRODUCT(MAX((Settings!$A$21:$A$25&lt;=$A305)*Settings!$A$21:$A$25))))</f>
      </c>
      <c r="M305" s="32">
        <f>IF($A305="","",L305*IFERROR(INDEX(Settings!$B$30:$B$36,MATCH($B305,Settings!$A$30:$A$36,0)),0))</f>
      </c>
      <c r="N305" s="32">
        <f t="shared" si="21"/>
      </c>
      <c r="O305" s="33">
        <f t="shared" si="22"/>
      </c>
      <c r="P305" s="32">
        <f t="shared" si="23"/>
      </c>
      <c r="Q305" s="33">
        <f t="shared" si="24"/>
      </c>
    </row>
    <row r="306" spans="1:17" x14ac:dyDescent="0.25">
      <c r="A306" s="22"/>
      <c r="B306" s="5"/>
      <c r="C306" s="5"/>
      <c r="D306" s="5"/>
      <c r="E306" s="5"/>
      <c r="F306" s="5"/>
      <c r="G306" s="5"/>
      <c r="H306" s="23"/>
      <c r="I306" s="23"/>
      <c r="J306" s="5"/>
      <c r="K306" s="31">
        <f t="shared" si="20"/>
      </c>
      <c r="L306" s="32">
        <f>IF($A306="","",C306*SUMIFS(Settings!$B$21:$B$25,Settings!$A$21:$A$25,SUMPRODUCT(MAX((Settings!$A$21:$A$25&lt;=$A306)*Settings!$A$21:$A$25)))+D306*SUMIFS(Settings!$C$21:$C$25,Settings!$A$21:$A$25,SUMPRODUCT(MAX((Settings!$A$21:$A$25&lt;=$A306)*Settings!$A$21:$A$25))))</f>
      </c>
      <c r="M306" s="32">
        <f>IF($A306="","",L306*IFERROR(INDEX(Settings!$B$30:$B$36,MATCH($B306,Settings!$A$30:$A$36,0)),0))</f>
      </c>
      <c r="N306" s="32">
        <f t="shared" si="21"/>
      </c>
      <c r="O306" s="33">
        <f t="shared" si="22"/>
      </c>
      <c r="P306" s="32">
        <f t="shared" si="23"/>
      </c>
      <c r="Q306" s="33">
        <f t="shared" si="24"/>
      </c>
    </row>
    <row r="307" spans="1:17" x14ac:dyDescent="0.25">
      <c r="A307" s="22"/>
      <c r="B307" s="5"/>
      <c r="C307" s="5"/>
      <c r="D307" s="5"/>
      <c r="E307" s="5"/>
      <c r="F307" s="5"/>
      <c r="G307" s="5"/>
      <c r="H307" s="23"/>
      <c r="I307" s="23"/>
      <c r="J307" s="5"/>
      <c r="K307" s="31">
        <f t="shared" si="20"/>
      </c>
      <c r="L307" s="32">
        <f>IF($A307="","",C307*SUMIFS(Settings!$B$21:$B$25,Settings!$A$21:$A$25,SUMPRODUCT(MAX((Settings!$A$21:$A$25&lt;=$A307)*Settings!$A$21:$A$25)))+D307*SUMIFS(Settings!$C$21:$C$25,Settings!$A$21:$A$25,SUMPRODUCT(MAX((Settings!$A$21:$A$25&lt;=$A307)*Settings!$A$21:$A$25))))</f>
      </c>
      <c r="M307" s="32">
        <f>IF($A307="","",L307*IFERROR(INDEX(Settings!$B$30:$B$36,MATCH($B307,Settings!$A$30:$A$36,0)),0))</f>
      </c>
      <c r="N307" s="32">
        <f t="shared" si="21"/>
      </c>
      <c r="O307" s="33">
        <f t="shared" si="22"/>
      </c>
      <c r="P307" s="32">
        <f t="shared" si="23"/>
      </c>
      <c r="Q307" s="33">
        <f t="shared" si="24"/>
      </c>
    </row>
    <row r="308" spans="1:17" x14ac:dyDescent="0.25">
      <c r="A308" s="22"/>
      <c r="B308" s="5"/>
      <c r="C308" s="5"/>
      <c r="D308" s="5"/>
      <c r="E308" s="5"/>
      <c r="F308" s="5"/>
      <c r="G308" s="5"/>
      <c r="H308" s="23"/>
      <c r="I308" s="23"/>
      <c r="J308" s="5"/>
      <c r="K308" s="31">
        <f t="shared" si="20"/>
      </c>
      <c r="L308" s="32">
        <f>IF($A308="","",C308*SUMIFS(Settings!$B$21:$B$25,Settings!$A$21:$A$25,SUMPRODUCT(MAX((Settings!$A$21:$A$25&lt;=$A308)*Settings!$A$21:$A$25)))+D308*SUMIFS(Settings!$C$21:$C$25,Settings!$A$21:$A$25,SUMPRODUCT(MAX((Settings!$A$21:$A$25&lt;=$A308)*Settings!$A$21:$A$25))))</f>
      </c>
      <c r="M308" s="32">
        <f>IF($A308="","",L308*IFERROR(INDEX(Settings!$B$30:$B$36,MATCH($B308,Settings!$A$30:$A$36,0)),0))</f>
      </c>
      <c r="N308" s="32">
        <f t="shared" si="21"/>
      </c>
      <c r="O308" s="33">
        <f t="shared" si="22"/>
      </c>
      <c r="P308" s="32">
        <f t="shared" si="23"/>
      </c>
      <c r="Q308" s="33">
        <f t="shared" si="24"/>
      </c>
    </row>
    <row r="309" spans="1:17" x14ac:dyDescent="0.25">
      <c r="A309" s="22"/>
      <c r="B309" s="5"/>
      <c r="C309" s="5"/>
      <c r="D309" s="5"/>
      <c r="E309" s="5"/>
      <c r="F309" s="5"/>
      <c r="G309" s="5"/>
      <c r="H309" s="23"/>
      <c r="I309" s="23"/>
      <c r="J309" s="5"/>
      <c r="K309" s="31">
        <f t="shared" si="20"/>
      </c>
      <c r="L309" s="32">
        <f>IF($A309="","",C309*SUMIFS(Settings!$B$21:$B$25,Settings!$A$21:$A$25,SUMPRODUCT(MAX((Settings!$A$21:$A$25&lt;=$A309)*Settings!$A$21:$A$25)))+D309*SUMIFS(Settings!$C$21:$C$25,Settings!$A$21:$A$25,SUMPRODUCT(MAX((Settings!$A$21:$A$25&lt;=$A309)*Settings!$A$21:$A$25))))</f>
      </c>
      <c r="M309" s="32">
        <f>IF($A309="","",L309*IFERROR(INDEX(Settings!$B$30:$B$36,MATCH($B309,Settings!$A$30:$A$36,0)),0))</f>
      </c>
      <c r="N309" s="32">
        <f t="shared" si="21"/>
      </c>
      <c r="O309" s="33">
        <f t="shared" si="22"/>
      </c>
      <c r="P309" s="32">
        <f t="shared" si="23"/>
      </c>
      <c r="Q309" s="33">
        <f t="shared" si="24"/>
      </c>
    </row>
    <row r="310" spans="1:17" x14ac:dyDescent="0.25">
      <c r="A310" s="22"/>
      <c r="B310" s="5"/>
      <c r="C310" s="5"/>
      <c r="D310" s="5"/>
      <c r="E310" s="5"/>
      <c r="F310" s="5"/>
      <c r="G310" s="5"/>
      <c r="H310" s="23"/>
      <c r="I310" s="23"/>
      <c r="J310" s="5"/>
      <c r="K310" s="31">
        <f t="shared" si="20"/>
      </c>
      <c r="L310" s="32">
        <f>IF($A310="","",C310*SUMIFS(Settings!$B$21:$B$25,Settings!$A$21:$A$25,SUMPRODUCT(MAX((Settings!$A$21:$A$25&lt;=$A310)*Settings!$A$21:$A$25)))+D310*SUMIFS(Settings!$C$21:$C$25,Settings!$A$21:$A$25,SUMPRODUCT(MAX((Settings!$A$21:$A$25&lt;=$A310)*Settings!$A$21:$A$25))))</f>
      </c>
      <c r="M310" s="32">
        <f>IF($A310="","",L310*IFERROR(INDEX(Settings!$B$30:$B$36,MATCH($B310,Settings!$A$30:$A$36,0)),0))</f>
      </c>
      <c r="N310" s="32">
        <f t="shared" si="21"/>
      </c>
      <c r="O310" s="33">
        <f t="shared" si="22"/>
      </c>
      <c r="P310" s="32">
        <f t="shared" si="23"/>
      </c>
      <c r="Q310" s="33">
        <f t="shared" si="24"/>
      </c>
    </row>
    <row r="311" spans="1:17" x14ac:dyDescent="0.25">
      <c r="A311" s="22"/>
      <c r="B311" s="5"/>
      <c r="C311" s="5"/>
      <c r="D311" s="5"/>
      <c r="E311" s="5"/>
      <c r="F311" s="5"/>
      <c r="G311" s="5"/>
      <c r="H311" s="23"/>
      <c r="I311" s="23"/>
      <c r="J311" s="5"/>
      <c r="K311" s="31">
        <f t="shared" si="20"/>
      </c>
      <c r="L311" s="32">
        <f>IF($A311="","",C311*SUMIFS(Settings!$B$21:$B$25,Settings!$A$21:$A$25,SUMPRODUCT(MAX((Settings!$A$21:$A$25&lt;=$A311)*Settings!$A$21:$A$25)))+D311*SUMIFS(Settings!$C$21:$C$25,Settings!$A$21:$A$25,SUMPRODUCT(MAX((Settings!$A$21:$A$25&lt;=$A311)*Settings!$A$21:$A$25))))</f>
      </c>
      <c r="M311" s="32">
        <f>IF($A311="","",L311*IFERROR(INDEX(Settings!$B$30:$B$36,MATCH($B311,Settings!$A$30:$A$36,0)),0))</f>
      </c>
      <c r="N311" s="32">
        <f t="shared" si="21"/>
      </c>
      <c r="O311" s="33">
        <f t="shared" si="22"/>
      </c>
      <c r="P311" s="32">
        <f t="shared" si="23"/>
      </c>
      <c r="Q311" s="33">
        <f t="shared" si="24"/>
      </c>
    </row>
    <row r="312" spans="1:17" x14ac:dyDescent="0.25">
      <c r="A312" s="22"/>
      <c r="B312" s="5"/>
      <c r="C312" s="5"/>
      <c r="D312" s="5"/>
      <c r="E312" s="5"/>
      <c r="F312" s="5"/>
      <c r="G312" s="5"/>
      <c r="H312" s="23"/>
      <c r="I312" s="23"/>
      <c r="J312" s="5"/>
      <c r="K312" s="31">
        <f t="shared" si="20"/>
      </c>
      <c r="L312" s="32">
        <f>IF($A312="","",C312*SUMIFS(Settings!$B$21:$B$25,Settings!$A$21:$A$25,SUMPRODUCT(MAX((Settings!$A$21:$A$25&lt;=$A312)*Settings!$A$21:$A$25)))+D312*SUMIFS(Settings!$C$21:$C$25,Settings!$A$21:$A$25,SUMPRODUCT(MAX((Settings!$A$21:$A$25&lt;=$A312)*Settings!$A$21:$A$25))))</f>
      </c>
      <c r="M312" s="32">
        <f>IF($A312="","",L312*IFERROR(INDEX(Settings!$B$30:$B$36,MATCH($B312,Settings!$A$30:$A$36,0)),0))</f>
      </c>
      <c r="N312" s="32">
        <f t="shared" si="21"/>
      </c>
      <c r="O312" s="33">
        <f t="shared" si="22"/>
      </c>
      <c r="P312" s="32">
        <f t="shared" si="23"/>
      </c>
      <c r="Q312" s="33">
        <f t="shared" si="24"/>
      </c>
    </row>
    <row r="313" spans="1:17" x14ac:dyDescent="0.25">
      <c r="A313" s="22"/>
      <c r="B313" s="5"/>
      <c r="C313" s="5"/>
      <c r="D313" s="5"/>
      <c r="E313" s="5"/>
      <c r="F313" s="5"/>
      <c r="G313" s="5"/>
      <c r="H313" s="23"/>
      <c r="I313" s="23"/>
      <c r="J313" s="5"/>
      <c r="K313" s="31">
        <f t="shared" si="20"/>
      </c>
      <c r="L313" s="32">
        <f>IF($A313="","",C313*SUMIFS(Settings!$B$21:$B$25,Settings!$A$21:$A$25,SUMPRODUCT(MAX((Settings!$A$21:$A$25&lt;=$A313)*Settings!$A$21:$A$25)))+D313*SUMIFS(Settings!$C$21:$C$25,Settings!$A$21:$A$25,SUMPRODUCT(MAX((Settings!$A$21:$A$25&lt;=$A313)*Settings!$A$21:$A$25))))</f>
      </c>
      <c r="M313" s="32">
        <f>IF($A313="","",L313*IFERROR(INDEX(Settings!$B$30:$B$36,MATCH($B313,Settings!$A$30:$A$36,0)),0))</f>
      </c>
      <c r="N313" s="32">
        <f t="shared" si="21"/>
      </c>
      <c r="O313" s="33">
        <f t="shared" si="22"/>
      </c>
      <c r="P313" s="32">
        <f t="shared" si="23"/>
      </c>
      <c r="Q313" s="33">
        <f t="shared" si="24"/>
      </c>
    </row>
    <row r="314" spans="1:17" x14ac:dyDescent="0.25">
      <c r="A314" s="22"/>
      <c r="B314" s="5"/>
      <c r="C314" s="5"/>
      <c r="D314" s="5"/>
      <c r="E314" s="5"/>
      <c r="F314" s="5"/>
      <c r="G314" s="5"/>
      <c r="H314" s="23"/>
      <c r="I314" s="23"/>
      <c r="J314" s="5"/>
      <c r="K314" s="31">
        <f t="shared" si="20"/>
      </c>
      <c r="L314" s="32">
        <f>IF($A314="","",C314*SUMIFS(Settings!$B$21:$B$25,Settings!$A$21:$A$25,SUMPRODUCT(MAX((Settings!$A$21:$A$25&lt;=$A314)*Settings!$A$21:$A$25)))+D314*SUMIFS(Settings!$C$21:$C$25,Settings!$A$21:$A$25,SUMPRODUCT(MAX((Settings!$A$21:$A$25&lt;=$A314)*Settings!$A$21:$A$25))))</f>
      </c>
      <c r="M314" s="32">
        <f>IF($A314="","",L314*IFERROR(INDEX(Settings!$B$30:$B$36,MATCH($B314,Settings!$A$30:$A$36,0)),0))</f>
      </c>
      <c r="N314" s="32">
        <f t="shared" si="21"/>
      </c>
      <c r="O314" s="33">
        <f t="shared" si="22"/>
      </c>
      <c r="P314" s="32">
        <f t="shared" si="23"/>
      </c>
      <c r="Q314" s="33">
        <f t="shared" si="24"/>
      </c>
    </row>
    <row r="315" spans="1:17" x14ac:dyDescent="0.25">
      <c r="A315" s="22"/>
      <c r="B315" s="5"/>
      <c r="C315" s="5"/>
      <c r="D315" s="5"/>
      <c r="E315" s="5"/>
      <c r="F315" s="5"/>
      <c r="G315" s="5"/>
      <c r="H315" s="23"/>
      <c r="I315" s="23"/>
      <c r="J315" s="5"/>
      <c r="K315" s="31">
        <f t="shared" si="20"/>
      </c>
      <c r="L315" s="32">
        <f>IF($A315="","",C315*SUMIFS(Settings!$B$21:$B$25,Settings!$A$21:$A$25,SUMPRODUCT(MAX((Settings!$A$21:$A$25&lt;=$A315)*Settings!$A$21:$A$25)))+D315*SUMIFS(Settings!$C$21:$C$25,Settings!$A$21:$A$25,SUMPRODUCT(MAX((Settings!$A$21:$A$25&lt;=$A315)*Settings!$A$21:$A$25))))</f>
      </c>
      <c r="M315" s="32">
        <f>IF($A315="","",L315*IFERROR(INDEX(Settings!$B$30:$B$36,MATCH($B315,Settings!$A$30:$A$36,0)),0))</f>
      </c>
      <c r="N315" s="32">
        <f t="shared" si="21"/>
      </c>
      <c r="O315" s="33">
        <f t="shared" si="22"/>
      </c>
      <c r="P315" s="32">
        <f t="shared" si="23"/>
      </c>
      <c r="Q315" s="33">
        <f t="shared" si="24"/>
      </c>
    </row>
    <row r="316" spans="1:17" x14ac:dyDescent="0.25">
      <c r="A316" s="22"/>
      <c r="B316" s="5"/>
      <c r="C316" s="5"/>
      <c r="D316" s="5"/>
      <c r="E316" s="5"/>
      <c r="F316" s="5"/>
      <c r="G316" s="5"/>
      <c r="H316" s="23"/>
      <c r="I316" s="23"/>
      <c r="J316" s="5"/>
      <c r="K316" s="31">
        <f t="shared" si="20"/>
      </c>
      <c r="L316" s="32">
        <f>IF($A316="","",C316*SUMIFS(Settings!$B$21:$B$25,Settings!$A$21:$A$25,SUMPRODUCT(MAX((Settings!$A$21:$A$25&lt;=$A316)*Settings!$A$21:$A$25)))+D316*SUMIFS(Settings!$C$21:$C$25,Settings!$A$21:$A$25,SUMPRODUCT(MAX((Settings!$A$21:$A$25&lt;=$A316)*Settings!$A$21:$A$25))))</f>
      </c>
      <c r="M316" s="32">
        <f>IF($A316="","",L316*IFERROR(INDEX(Settings!$B$30:$B$36,MATCH($B316,Settings!$A$30:$A$36,0)),0))</f>
      </c>
      <c r="N316" s="32">
        <f t="shared" si="21"/>
      </c>
      <c r="O316" s="33">
        <f t="shared" si="22"/>
      </c>
      <c r="P316" s="32">
        <f t="shared" si="23"/>
      </c>
      <c r="Q316" s="33">
        <f t="shared" si="24"/>
      </c>
    </row>
    <row r="317" spans="1:17" x14ac:dyDescent="0.25">
      <c r="A317" s="22"/>
      <c r="B317" s="5"/>
      <c r="C317" s="5"/>
      <c r="D317" s="5"/>
      <c r="E317" s="5"/>
      <c r="F317" s="5"/>
      <c r="G317" s="5"/>
      <c r="H317" s="23"/>
      <c r="I317" s="23"/>
      <c r="J317" s="5"/>
      <c r="K317" s="31">
        <f t="shared" si="20"/>
      </c>
      <c r="L317" s="32">
        <f>IF($A317="","",C317*SUMIFS(Settings!$B$21:$B$25,Settings!$A$21:$A$25,SUMPRODUCT(MAX((Settings!$A$21:$A$25&lt;=$A317)*Settings!$A$21:$A$25)))+D317*SUMIFS(Settings!$C$21:$C$25,Settings!$A$21:$A$25,SUMPRODUCT(MAX((Settings!$A$21:$A$25&lt;=$A317)*Settings!$A$21:$A$25))))</f>
      </c>
      <c r="M317" s="32">
        <f>IF($A317="","",L317*IFERROR(INDEX(Settings!$B$30:$B$36,MATCH($B317,Settings!$A$30:$A$36,0)),0))</f>
      </c>
      <c r="N317" s="32">
        <f t="shared" si="21"/>
      </c>
      <c r="O317" s="33">
        <f t="shared" si="22"/>
      </c>
      <c r="P317" s="32">
        <f t="shared" si="23"/>
      </c>
      <c r="Q317" s="33">
        <f t="shared" si="24"/>
      </c>
    </row>
    <row r="318" spans="1:17" x14ac:dyDescent="0.25">
      <c r="A318" s="22"/>
      <c r="B318" s="5"/>
      <c r="C318" s="5"/>
      <c r="D318" s="5"/>
      <c r="E318" s="5"/>
      <c r="F318" s="5"/>
      <c r="G318" s="5"/>
      <c r="H318" s="23"/>
      <c r="I318" s="23"/>
      <c r="J318" s="5"/>
      <c r="K318" s="31">
        <f t="shared" si="20"/>
      </c>
      <c r="L318" s="32">
        <f>IF($A318="","",C318*SUMIFS(Settings!$B$21:$B$25,Settings!$A$21:$A$25,SUMPRODUCT(MAX((Settings!$A$21:$A$25&lt;=$A318)*Settings!$A$21:$A$25)))+D318*SUMIFS(Settings!$C$21:$C$25,Settings!$A$21:$A$25,SUMPRODUCT(MAX((Settings!$A$21:$A$25&lt;=$A318)*Settings!$A$21:$A$25))))</f>
      </c>
      <c r="M318" s="32">
        <f>IF($A318="","",L318*IFERROR(INDEX(Settings!$B$30:$B$36,MATCH($B318,Settings!$A$30:$A$36,0)),0))</f>
      </c>
      <c r="N318" s="32">
        <f t="shared" si="21"/>
      </c>
      <c r="O318" s="33">
        <f t="shared" si="22"/>
      </c>
      <c r="P318" s="32">
        <f t="shared" si="23"/>
      </c>
      <c r="Q318" s="33">
        <f t="shared" si="24"/>
      </c>
    </row>
    <row r="319" spans="1:17" x14ac:dyDescent="0.25">
      <c r="A319" s="22"/>
      <c r="B319" s="5"/>
      <c r="C319" s="5"/>
      <c r="D319" s="5"/>
      <c r="E319" s="5"/>
      <c r="F319" s="5"/>
      <c r="G319" s="5"/>
      <c r="H319" s="23"/>
      <c r="I319" s="23"/>
      <c r="J319" s="5"/>
      <c r="K319" s="31">
        <f t="shared" si="20"/>
      </c>
      <c r="L319" s="32">
        <f>IF($A319="","",C319*SUMIFS(Settings!$B$21:$B$25,Settings!$A$21:$A$25,SUMPRODUCT(MAX((Settings!$A$21:$A$25&lt;=$A319)*Settings!$A$21:$A$25)))+D319*SUMIFS(Settings!$C$21:$C$25,Settings!$A$21:$A$25,SUMPRODUCT(MAX((Settings!$A$21:$A$25&lt;=$A319)*Settings!$A$21:$A$25))))</f>
      </c>
      <c r="M319" s="32">
        <f>IF($A319="","",L319*IFERROR(INDEX(Settings!$B$30:$B$36,MATCH($B319,Settings!$A$30:$A$36,0)),0))</f>
      </c>
      <c r="N319" s="32">
        <f t="shared" si="21"/>
      </c>
      <c r="O319" s="33">
        <f t="shared" si="22"/>
      </c>
      <c r="P319" s="32">
        <f t="shared" si="23"/>
      </c>
      <c r="Q319" s="33">
        <f t="shared" si="24"/>
      </c>
    </row>
    <row r="320" spans="1:17" x14ac:dyDescent="0.25">
      <c r="A320" s="22"/>
      <c r="B320" s="5"/>
      <c r="C320" s="5"/>
      <c r="D320" s="5"/>
      <c r="E320" s="5"/>
      <c r="F320" s="5"/>
      <c r="G320" s="5"/>
      <c r="H320" s="23"/>
      <c r="I320" s="23"/>
      <c r="J320" s="5"/>
      <c r="K320" s="31">
        <f t="shared" si="20"/>
      </c>
      <c r="L320" s="32">
        <f>IF($A320="","",C320*SUMIFS(Settings!$B$21:$B$25,Settings!$A$21:$A$25,SUMPRODUCT(MAX((Settings!$A$21:$A$25&lt;=$A320)*Settings!$A$21:$A$25)))+D320*SUMIFS(Settings!$C$21:$C$25,Settings!$A$21:$A$25,SUMPRODUCT(MAX((Settings!$A$21:$A$25&lt;=$A320)*Settings!$A$21:$A$25))))</f>
      </c>
      <c r="M320" s="32">
        <f>IF($A320="","",L320*IFERROR(INDEX(Settings!$B$30:$B$36,MATCH($B320,Settings!$A$30:$A$36,0)),0))</f>
      </c>
      <c r="N320" s="32">
        <f t="shared" si="21"/>
      </c>
      <c r="O320" s="33">
        <f t="shared" si="22"/>
      </c>
      <c r="P320" s="32">
        <f t="shared" si="23"/>
      </c>
      <c r="Q320" s="33">
        <f t="shared" si="24"/>
      </c>
    </row>
    <row r="321" spans="1:17" x14ac:dyDescent="0.25">
      <c r="A321" s="22"/>
      <c r="B321" s="5"/>
      <c r="C321" s="5"/>
      <c r="D321" s="5"/>
      <c r="E321" s="5"/>
      <c r="F321" s="5"/>
      <c r="G321" s="5"/>
      <c r="H321" s="23"/>
      <c r="I321" s="23"/>
      <c r="J321" s="5"/>
      <c r="K321" s="31">
        <f t="shared" si="20"/>
      </c>
      <c r="L321" s="32">
        <f>IF($A321="","",C321*SUMIFS(Settings!$B$21:$B$25,Settings!$A$21:$A$25,SUMPRODUCT(MAX((Settings!$A$21:$A$25&lt;=$A321)*Settings!$A$21:$A$25)))+D321*SUMIFS(Settings!$C$21:$C$25,Settings!$A$21:$A$25,SUMPRODUCT(MAX((Settings!$A$21:$A$25&lt;=$A321)*Settings!$A$21:$A$25))))</f>
      </c>
      <c r="M321" s="32">
        <f>IF($A321="","",L321*IFERROR(INDEX(Settings!$B$30:$B$36,MATCH($B321,Settings!$A$30:$A$36,0)),0))</f>
      </c>
      <c r="N321" s="32">
        <f t="shared" si="21"/>
      </c>
      <c r="O321" s="33">
        <f t="shared" si="22"/>
      </c>
      <c r="P321" s="32">
        <f t="shared" si="23"/>
      </c>
      <c r="Q321" s="33">
        <f t="shared" si="24"/>
      </c>
    </row>
    <row r="322" spans="1:17" x14ac:dyDescent="0.25">
      <c r="A322" s="22"/>
      <c r="B322" s="5"/>
      <c r="C322" s="5"/>
      <c r="D322" s="5"/>
      <c r="E322" s="5"/>
      <c r="F322" s="5"/>
      <c r="G322" s="5"/>
      <c r="H322" s="23"/>
      <c r="I322" s="23"/>
      <c r="J322" s="5"/>
      <c r="K322" s="31">
        <f t="shared" si="20"/>
      </c>
      <c r="L322" s="32">
        <f>IF($A322="","",C322*SUMIFS(Settings!$B$21:$B$25,Settings!$A$21:$A$25,SUMPRODUCT(MAX((Settings!$A$21:$A$25&lt;=$A322)*Settings!$A$21:$A$25)))+D322*SUMIFS(Settings!$C$21:$C$25,Settings!$A$21:$A$25,SUMPRODUCT(MAX((Settings!$A$21:$A$25&lt;=$A322)*Settings!$A$21:$A$25))))</f>
      </c>
      <c r="M322" s="32">
        <f>IF($A322="","",L322*IFERROR(INDEX(Settings!$B$30:$B$36,MATCH($B322,Settings!$A$30:$A$36,0)),0))</f>
      </c>
      <c r="N322" s="32">
        <f t="shared" si="21"/>
      </c>
      <c r="O322" s="33">
        <f t="shared" si="22"/>
      </c>
      <c r="P322" s="32">
        <f t="shared" si="23"/>
      </c>
      <c r="Q322" s="33">
        <f t="shared" si="24"/>
      </c>
    </row>
    <row r="323" spans="1:17" x14ac:dyDescent="0.25">
      <c r="A323" s="22"/>
      <c r="B323" s="5"/>
      <c r="C323" s="5"/>
      <c r="D323" s="5"/>
      <c r="E323" s="5"/>
      <c r="F323" s="5"/>
      <c r="G323" s="5"/>
      <c r="H323" s="23"/>
      <c r="I323" s="23"/>
      <c r="J323" s="5"/>
      <c r="K323" s="31">
        <f t="shared" si="20"/>
      </c>
      <c r="L323" s="32">
        <f>IF($A323="","",C323*SUMIFS(Settings!$B$21:$B$25,Settings!$A$21:$A$25,SUMPRODUCT(MAX((Settings!$A$21:$A$25&lt;=$A323)*Settings!$A$21:$A$25)))+D323*SUMIFS(Settings!$C$21:$C$25,Settings!$A$21:$A$25,SUMPRODUCT(MAX((Settings!$A$21:$A$25&lt;=$A323)*Settings!$A$21:$A$25))))</f>
      </c>
      <c r="M323" s="32">
        <f>IF($A323="","",L323*IFERROR(INDEX(Settings!$B$30:$B$36,MATCH($B323,Settings!$A$30:$A$36,0)),0))</f>
      </c>
      <c r="N323" s="32">
        <f t="shared" si="21"/>
      </c>
      <c r="O323" s="33">
        <f t="shared" si="22"/>
      </c>
      <c r="P323" s="32">
        <f t="shared" si="23"/>
      </c>
      <c r="Q323" s="33">
        <f t="shared" si="24"/>
      </c>
    </row>
    <row r="324" spans="1:17" x14ac:dyDescent="0.25">
      <c r="A324" s="22"/>
      <c r="B324" s="5"/>
      <c r="C324" s="5"/>
      <c r="D324" s="5"/>
      <c r="E324" s="5"/>
      <c r="F324" s="5"/>
      <c r="G324" s="5"/>
      <c r="H324" s="23"/>
      <c r="I324" s="23"/>
      <c r="J324" s="5"/>
      <c r="K324" s="31">
        <f t="shared" si="20"/>
      </c>
      <c r="L324" s="32">
        <f>IF($A324="","",C324*SUMIFS(Settings!$B$21:$B$25,Settings!$A$21:$A$25,SUMPRODUCT(MAX((Settings!$A$21:$A$25&lt;=$A324)*Settings!$A$21:$A$25)))+D324*SUMIFS(Settings!$C$21:$C$25,Settings!$A$21:$A$25,SUMPRODUCT(MAX((Settings!$A$21:$A$25&lt;=$A324)*Settings!$A$21:$A$25))))</f>
      </c>
      <c r="M324" s="32">
        <f>IF($A324="","",L324*IFERROR(INDEX(Settings!$B$30:$B$36,MATCH($B324,Settings!$A$30:$A$36,0)),0))</f>
      </c>
      <c r="N324" s="32">
        <f t="shared" si="21"/>
      </c>
      <c r="O324" s="33">
        <f t="shared" si="22"/>
      </c>
      <c r="P324" s="32">
        <f t="shared" si="23"/>
      </c>
      <c r="Q324" s="33">
        <f t="shared" si="24"/>
      </c>
    </row>
    <row r="325" spans="1:17" x14ac:dyDescent="0.25">
      <c r="A325" s="22"/>
      <c r="B325" s="5"/>
      <c r="C325" s="5"/>
      <c r="D325" s="5"/>
      <c r="E325" s="5"/>
      <c r="F325" s="5"/>
      <c r="G325" s="5"/>
      <c r="H325" s="23"/>
      <c r="I325" s="23"/>
      <c r="J325" s="5"/>
      <c r="K325" s="31">
        <f t="shared" si="20"/>
      </c>
      <c r="L325" s="32">
        <f>IF($A325="","",C325*SUMIFS(Settings!$B$21:$B$25,Settings!$A$21:$A$25,SUMPRODUCT(MAX((Settings!$A$21:$A$25&lt;=$A325)*Settings!$A$21:$A$25)))+D325*SUMIFS(Settings!$C$21:$C$25,Settings!$A$21:$A$25,SUMPRODUCT(MAX((Settings!$A$21:$A$25&lt;=$A325)*Settings!$A$21:$A$25))))</f>
      </c>
      <c r="M325" s="32">
        <f>IF($A325="","",L325*IFERROR(INDEX(Settings!$B$30:$B$36,MATCH($B325,Settings!$A$30:$A$36,0)),0))</f>
      </c>
      <c r="N325" s="32">
        <f t="shared" si="21"/>
      </c>
      <c r="O325" s="33">
        <f t="shared" si="22"/>
      </c>
      <c r="P325" s="32">
        <f t="shared" si="23"/>
      </c>
      <c r="Q325" s="33">
        <f t="shared" si="24"/>
      </c>
    </row>
    <row r="326" spans="1:17" x14ac:dyDescent="0.25">
      <c r="A326" s="22"/>
      <c r="B326" s="5"/>
      <c r="C326" s="5"/>
      <c r="D326" s="5"/>
      <c r="E326" s="5"/>
      <c r="F326" s="5"/>
      <c r="G326" s="5"/>
      <c r="H326" s="23"/>
      <c r="I326" s="23"/>
      <c r="J326" s="5"/>
      <c r="K326" s="31">
        <f t="shared" ref="K326:K389" si="25">IF($A326="","",C326+D326)</f>
      </c>
      <c r="L326" s="32">
        <f>IF($A326="","",C326*SUMIFS(Settings!$B$21:$B$25,Settings!$A$21:$A$25,SUMPRODUCT(MAX((Settings!$A$21:$A$25&lt;=$A326)*Settings!$A$21:$A$25)))+D326*SUMIFS(Settings!$C$21:$C$25,Settings!$A$21:$A$25,SUMPRODUCT(MAX((Settings!$A$21:$A$25&lt;=$A326)*Settings!$A$21:$A$25))))</f>
      </c>
      <c r="M326" s="32">
        <f>IF($A326="","",L326*IFERROR(INDEX(Settings!$B$30:$B$36,MATCH($B326,Settings!$A$30:$A$36,0)),0))</f>
      </c>
      <c r="N326" s="32">
        <f t="shared" ref="N326:N389" si="26">IF(OR($A326="",F326="",G326=""),"",(F326-G326)-(K326+E326))</f>
      </c>
      <c r="O326" s="33">
        <f t="shared" ref="O326:O389" si="27">IF(N326="","",IF(N326=0,"OK","CHECK"))</f>
      </c>
      <c r="P326" s="32">
        <f t="shared" ref="P326:P389" si="28">IF(OR($A326="",AND(H326="",I326="")),"",H326+I326-L326)</f>
      </c>
      <c r="Q326" s="33">
        <f t="shared" ref="Q326:Q389" si="29">IF(P326="","",IF(P326=0,"OK","CHECK"))</f>
      </c>
    </row>
    <row r="327" spans="1:17" x14ac:dyDescent="0.25">
      <c r="A327" s="22"/>
      <c r="B327" s="5"/>
      <c r="C327" s="5"/>
      <c r="D327" s="5"/>
      <c r="E327" s="5"/>
      <c r="F327" s="5"/>
      <c r="G327" s="5"/>
      <c r="H327" s="23"/>
      <c r="I327" s="23"/>
      <c r="J327" s="5"/>
      <c r="K327" s="31">
        <f t="shared" si="25"/>
      </c>
      <c r="L327" s="32">
        <f>IF($A327="","",C327*SUMIFS(Settings!$B$21:$B$25,Settings!$A$21:$A$25,SUMPRODUCT(MAX((Settings!$A$21:$A$25&lt;=$A327)*Settings!$A$21:$A$25)))+D327*SUMIFS(Settings!$C$21:$C$25,Settings!$A$21:$A$25,SUMPRODUCT(MAX((Settings!$A$21:$A$25&lt;=$A327)*Settings!$A$21:$A$25))))</f>
      </c>
      <c r="M327" s="32">
        <f>IF($A327="","",L327*IFERROR(INDEX(Settings!$B$30:$B$36,MATCH($B327,Settings!$A$30:$A$36,0)),0))</f>
      </c>
      <c r="N327" s="32">
        <f t="shared" si="26"/>
      </c>
      <c r="O327" s="33">
        <f t="shared" si="27"/>
      </c>
      <c r="P327" s="32">
        <f t="shared" si="28"/>
      </c>
      <c r="Q327" s="33">
        <f t="shared" si="29"/>
      </c>
    </row>
    <row r="328" spans="1:17" x14ac:dyDescent="0.25">
      <c r="A328" s="22"/>
      <c r="B328" s="5"/>
      <c r="C328" s="5"/>
      <c r="D328" s="5"/>
      <c r="E328" s="5"/>
      <c r="F328" s="5"/>
      <c r="G328" s="5"/>
      <c r="H328" s="23"/>
      <c r="I328" s="23"/>
      <c r="J328" s="5"/>
      <c r="K328" s="31">
        <f t="shared" si="25"/>
      </c>
      <c r="L328" s="32">
        <f>IF($A328="","",C328*SUMIFS(Settings!$B$21:$B$25,Settings!$A$21:$A$25,SUMPRODUCT(MAX((Settings!$A$21:$A$25&lt;=$A328)*Settings!$A$21:$A$25)))+D328*SUMIFS(Settings!$C$21:$C$25,Settings!$A$21:$A$25,SUMPRODUCT(MAX((Settings!$A$21:$A$25&lt;=$A328)*Settings!$A$21:$A$25))))</f>
      </c>
      <c r="M328" s="32">
        <f>IF($A328="","",L328*IFERROR(INDEX(Settings!$B$30:$B$36,MATCH($B328,Settings!$A$30:$A$36,0)),0))</f>
      </c>
      <c r="N328" s="32">
        <f t="shared" si="26"/>
      </c>
      <c r="O328" s="33">
        <f t="shared" si="27"/>
      </c>
      <c r="P328" s="32">
        <f t="shared" si="28"/>
      </c>
      <c r="Q328" s="33">
        <f t="shared" si="29"/>
      </c>
    </row>
    <row r="329" spans="1:17" x14ac:dyDescent="0.25">
      <c r="A329" s="22"/>
      <c r="B329" s="5"/>
      <c r="C329" s="5"/>
      <c r="D329" s="5"/>
      <c r="E329" s="5"/>
      <c r="F329" s="5"/>
      <c r="G329" s="5"/>
      <c r="H329" s="23"/>
      <c r="I329" s="23"/>
      <c r="J329" s="5"/>
      <c r="K329" s="31">
        <f t="shared" si="25"/>
      </c>
      <c r="L329" s="32">
        <f>IF($A329="","",C329*SUMIFS(Settings!$B$21:$B$25,Settings!$A$21:$A$25,SUMPRODUCT(MAX((Settings!$A$21:$A$25&lt;=$A329)*Settings!$A$21:$A$25)))+D329*SUMIFS(Settings!$C$21:$C$25,Settings!$A$21:$A$25,SUMPRODUCT(MAX((Settings!$A$21:$A$25&lt;=$A329)*Settings!$A$21:$A$25))))</f>
      </c>
      <c r="M329" s="32">
        <f>IF($A329="","",L329*IFERROR(INDEX(Settings!$B$30:$B$36,MATCH($B329,Settings!$A$30:$A$36,0)),0))</f>
      </c>
      <c r="N329" s="32">
        <f t="shared" si="26"/>
      </c>
      <c r="O329" s="33">
        <f t="shared" si="27"/>
      </c>
      <c r="P329" s="32">
        <f t="shared" si="28"/>
      </c>
      <c r="Q329" s="33">
        <f t="shared" si="29"/>
      </c>
    </row>
    <row r="330" spans="1:17" x14ac:dyDescent="0.25">
      <c r="A330" s="22"/>
      <c r="B330" s="5"/>
      <c r="C330" s="5"/>
      <c r="D330" s="5"/>
      <c r="E330" s="5"/>
      <c r="F330" s="5"/>
      <c r="G330" s="5"/>
      <c r="H330" s="23"/>
      <c r="I330" s="23"/>
      <c r="J330" s="5"/>
      <c r="K330" s="31">
        <f t="shared" si="25"/>
      </c>
      <c r="L330" s="32">
        <f>IF($A330="","",C330*SUMIFS(Settings!$B$21:$B$25,Settings!$A$21:$A$25,SUMPRODUCT(MAX((Settings!$A$21:$A$25&lt;=$A330)*Settings!$A$21:$A$25)))+D330*SUMIFS(Settings!$C$21:$C$25,Settings!$A$21:$A$25,SUMPRODUCT(MAX((Settings!$A$21:$A$25&lt;=$A330)*Settings!$A$21:$A$25))))</f>
      </c>
      <c r="M330" s="32">
        <f>IF($A330="","",L330*IFERROR(INDEX(Settings!$B$30:$B$36,MATCH($B330,Settings!$A$30:$A$36,0)),0))</f>
      </c>
      <c r="N330" s="32">
        <f t="shared" si="26"/>
      </c>
      <c r="O330" s="33">
        <f t="shared" si="27"/>
      </c>
      <c r="P330" s="32">
        <f t="shared" si="28"/>
      </c>
      <c r="Q330" s="33">
        <f t="shared" si="29"/>
      </c>
    </row>
    <row r="331" spans="1:17" x14ac:dyDescent="0.25">
      <c r="A331" s="22"/>
      <c r="B331" s="5"/>
      <c r="C331" s="5"/>
      <c r="D331" s="5"/>
      <c r="E331" s="5"/>
      <c r="F331" s="5"/>
      <c r="G331" s="5"/>
      <c r="H331" s="23"/>
      <c r="I331" s="23"/>
      <c r="J331" s="5"/>
      <c r="K331" s="31">
        <f t="shared" si="25"/>
      </c>
      <c r="L331" s="32">
        <f>IF($A331="","",C331*SUMIFS(Settings!$B$21:$B$25,Settings!$A$21:$A$25,SUMPRODUCT(MAX((Settings!$A$21:$A$25&lt;=$A331)*Settings!$A$21:$A$25)))+D331*SUMIFS(Settings!$C$21:$C$25,Settings!$A$21:$A$25,SUMPRODUCT(MAX((Settings!$A$21:$A$25&lt;=$A331)*Settings!$A$21:$A$25))))</f>
      </c>
      <c r="M331" s="32">
        <f>IF($A331="","",L331*IFERROR(INDEX(Settings!$B$30:$B$36,MATCH($B331,Settings!$A$30:$A$36,0)),0))</f>
      </c>
      <c r="N331" s="32">
        <f t="shared" si="26"/>
      </c>
      <c r="O331" s="33">
        <f t="shared" si="27"/>
      </c>
      <c r="P331" s="32">
        <f t="shared" si="28"/>
      </c>
      <c r="Q331" s="33">
        <f t="shared" si="29"/>
      </c>
    </row>
    <row r="332" spans="1:17" x14ac:dyDescent="0.25">
      <c r="A332" s="22"/>
      <c r="B332" s="5"/>
      <c r="C332" s="5"/>
      <c r="D332" s="5"/>
      <c r="E332" s="5"/>
      <c r="F332" s="5"/>
      <c r="G332" s="5"/>
      <c r="H332" s="23"/>
      <c r="I332" s="23"/>
      <c r="J332" s="5"/>
      <c r="K332" s="31">
        <f t="shared" si="25"/>
      </c>
      <c r="L332" s="32">
        <f>IF($A332="","",C332*SUMIFS(Settings!$B$21:$B$25,Settings!$A$21:$A$25,SUMPRODUCT(MAX((Settings!$A$21:$A$25&lt;=$A332)*Settings!$A$21:$A$25)))+D332*SUMIFS(Settings!$C$21:$C$25,Settings!$A$21:$A$25,SUMPRODUCT(MAX((Settings!$A$21:$A$25&lt;=$A332)*Settings!$A$21:$A$25))))</f>
      </c>
      <c r="M332" s="32">
        <f>IF($A332="","",L332*IFERROR(INDEX(Settings!$B$30:$B$36,MATCH($B332,Settings!$A$30:$A$36,0)),0))</f>
      </c>
      <c r="N332" s="32">
        <f t="shared" si="26"/>
      </c>
      <c r="O332" s="33">
        <f t="shared" si="27"/>
      </c>
      <c r="P332" s="32">
        <f t="shared" si="28"/>
      </c>
      <c r="Q332" s="33">
        <f t="shared" si="29"/>
      </c>
    </row>
    <row r="333" spans="1:17" x14ac:dyDescent="0.25">
      <c r="A333" s="22"/>
      <c r="B333" s="5"/>
      <c r="C333" s="5"/>
      <c r="D333" s="5"/>
      <c r="E333" s="5"/>
      <c r="F333" s="5"/>
      <c r="G333" s="5"/>
      <c r="H333" s="23"/>
      <c r="I333" s="23"/>
      <c r="J333" s="5"/>
      <c r="K333" s="31">
        <f t="shared" si="25"/>
      </c>
      <c r="L333" s="32">
        <f>IF($A333="","",C333*SUMIFS(Settings!$B$21:$B$25,Settings!$A$21:$A$25,SUMPRODUCT(MAX((Settings!$A$21:$A$25&lt;=$A333)*Settings!$A$21:$A$25)))+D333*SUMIFS(Settings!$C$21:$C$25,Settings!$A$21:$A$25,SUMPRODUCT(MAX((Settings!$A$21:$A$25&lt;=$A333)*Settings!$A$21:$A$25))))</f>
      </c>
      <c r="M333" s="32">
        <f>IF($A333="","",L333*IFERROR(INDEX(Settings!$B$30:$B$36,MATCH($B333,Settings!$A$30:$A$36,0)),0))</f>
      </c>
      <c r="N333" s="32">
        <f t="shared" si="26"/>
      </c>
      <c r="O333" s="33">
        <f t="shared" si="27"/>
      </c>
      <c r="P333" s="32">
        <f t="shared" si="28"/>
      </c>
      <c r="Q333" s="33">
        <f t="shared" si="29"/>
      </c>
    </row>
    <row r="334" spans="1:17" x14ac:dyDescent="0.25">
      <c r="A334" s="22"/>
      <c r="B334" s="5"/>
      <c r="C334" s="5"/>
      <c r="D334" s="5"/>
      <c r="E334" s="5"/>
      <c r="F334" s="5"/>
      <c r="G334" s="5"/>
      <c r="H334" s="23"/>
      <c r="I334" s="23"/>
      <c r="J334" s="5"/>
      <c r="K334" s="31">
        <f t="shared" si="25"/>
      </c>
      <c r="L334" s="32">
        <f>IF($A334="","",C334*SUMIFS(Settings!$B$21:$B$25,Settings!$A$21:$A$25,SUMPRODUCT(MAX((Settings!$A$21:$A$25&lt;=$A334)*Settings!$A$21:$A$25)))+D334*SUMIFS(Settings!$C$21:$C$25,Settings!$A$21:$A$25,SUMPRODUCT(MAX((Settings!$A$21:$A$25&lt;=$A334)*Settings!$A$21:$A$25))))</f>
      </c>
      <c r="M334" s="32">
        <f>IF($A334="","",L334*IFERROR(INDEX(Settings!$B$30:$B$36,MATCH($B334,Settings!$A$30:$A$36,0)),0))</f>
      </c>
      <c r="N334" s="32">
        <f t="shared" si="26"/>
      </c>
      <c r="O334" s="33">
        <f t="shared" si="27"/>
      </c>
      <c r="P334" s="32">
        <f t="shared" si="28"/>
      </c>
      <c r="Q334" s="33">
        <f t="shared" si="29"/>
      </c>
    </row>
    <row r="335" spans="1:17" x14ac:dyDescent="0.25">
      <c r="A335" s="22"/>
      <c r="B335" s="5"/>
      <c r="C335" s="5"/>
      <c r="D335" s="5"/>
      <c r="E335" s="5"/>
      <c r="F335" s="5"/>
      <c r="G335" s="5"/>
      <c r="H335" s="23"/>
      <c r="I335" s="23"/>
      <c r="J335" s="5"/>
      <c r="K335" s="31">
        <f t="shared" si="25"/>
      </c>
      <c r="L335" s="32">
        <f>IF($A335="","",C335*SUMIFS(Settings!$B$21:$B$25,Settings!$A$21:$A$25,SUMPRODUCT(MAX((Settings!$A$21:$A$25&lt;=$A335)*Settings!$A$21:$A$25)))+D335*SUMIFS(Settings!$C$21:$C$25,Settings!$A$21:$A$25,SUMPRODUCT(MAX((Settings!$A$21:$A$25&lt;=$A335)*Settings!$A$21:$A$25))))</f>
      </c>
      <c r="M335" s="32">
        <f>IF($A335="","",L335*IFERROR(INDEX(Settings!$B$30:$B$36,MATCH($B335,Settings!$A$30:$A$36,0)),0))</f>
      </c>
      <c r="N335" s="32">
        <f t="shared" si="26"/>
      </c>
      <c r="O335" s="33">
        <f t="shared" si="27"/>
      </c>
      <c r="P335" s="32">
        <f t="shared" si="28"/>
      </c>
      <c r="Q335" s="33">
        <f t="shared" si="29"/>
      </c>
    </row>
    <row r="336" spans="1:17" x14ac:dyDescent="0.25">
      <c r="A336" s="22"/>
      <c r="B336" s="5"/>
      <c r="C336" s="5"/>
      <c r="D336" s="5"/>
      <c r="E336" s="5"/>
      <c r="F336" s="5"/>
      <c r="G336" s="5"/>
      <c r="H336" s="23"/>
      <c r="I336" s="23"/>
      <c r="J336" s="5"/>
      <c r="K336" s="31">
        <f t="shared" si="25"/>
      </c>
      <c r="L336" s="32">
        <f>IF($A336="","",C336*SUMIFS(Settings!$B$21:$B$25,Settings!$A$21:$A$25,SUMPRODUCT(MAX((Settings!$A$21:$A$25&lt;=$A336)*Settings!$A$21:$A$25)))+D336*SUMIFS(Settings!$C$21:$C$25,Settings!$A$21:$A$25,SUMPRODUCT(MAX((Settings!$A$21:$A$25&lt;=$A336)*Settings!$A$21:$A$25))))</f>
      </c>
      <c r="M336" s="32">
        <f>IF($A336="","",L336*IFERROR(INDEX(Settings!$B$30:$B$36,MATCH($B336,Settings!$A$30:$A$36,0)),0))</f>
      </c>
      <c r="N336" s="32">
        <f t="shared" si="26"/>
      </c>
      <c r="O336" s="33">
        <f t="shared" si="27"/>
      </c>
      <c r="P336" s="32">
        <f t="shared" si="28"/>
      </c>
      <c r="Q336" s="33">
        <f t="shared" si="29"/>
      </c>
    </row>
    <row r="337" spans="1:17" x14ac:dyDescent="0.25">
      <c r="A337" s="22"/>
      <c r="B337" s="5"/>
      <c r="C337" s="5"/>
      <c r="D337" s="5"/>
      <c r="E337" s="5"/>
      <c r="F337" s="5"/>
      <c r="G337" s="5"/>
      <c r="H337" s="23"/>
      <c r="I337" s="23"/>
      <c r="J337" s="5"/>
      <c r="K337" s="31">
        <f t="shared" si="25"/>
      </c>
      <c r="L337" s="32">
        <f>IF($A337="","",C337*SUMIFS(Settings!$B$21:$B$25,Settings!$A$21:$A$25,SUMPRODUCT(MAX((Settings!$A$21:$A$25&lt;=$A337)*Settings!$A$21:$A$25)))+D337*SUMIFS(Settings!$C$21:$C$25,Settings!$A$21:$A$25,SUMPRODUCT(MAX((Settings!$A$21:$A$25&lt;=$A337)*Settings!$A$21:$A$25))))</f>
      </c>
      <c r="M337" s="32">
        <f>IF($A337="","",L337*IFERROR(INDEX(Settings!$B$30:$B$36,MATCH($B337,Settings!$A$30:$A$36,0)),0))</f>
      </c>
      <c r="N337" s="32">
        <f t="shared" si="26"/>
      </c>
      <c r="O337" s="33">
        <f t="shared" si="27"/>
      </c>
      <c r="P337" s="32">
        <f t="shared" si="28"/>
      </c>
      <c r="Q337" s="33">
        <f t="shared" si="29"/>
      </c>
    </row>
    <row r="338" spans="1:17" x14ac:dyDescent="0.25">
      <c r="A338" s="22"/>
      <c r="B338" s="5"/>
      <c r="C338" s="5"/>
      <c r="D338" s="5"/>
      <c r="E338" s="5"/>
      <c r="F338" s="5"/>
      <c r="G338" s="5"/>
      <c r="H338" s="23"/>
      <c r="I338" s="23"/>
      <c r="J338" s="5"/>
      <c r="K338" s="31">
        <f t="shared" si="25"/>
      </c>
      <c r="L338" s="32">
        <f>IF($A338="","",C338*SUMIFS(Settings!$B$21:$B$25,Settings!$A$21:$A$25,SUMPRODUCT(MAX((Settings!$A$21:$A$25&lt;=$A338)*Settings!$A$21:$A$25)))+D338*SUMIFS(Settings!$C$21:$C$25,Settings!$A$21:$A$25,SUMPRODUCT(MAX((Settings!$A$21:$A$25&lt;=$A338)*Settings!$A$21:$A$25))))</f>
      </c>
      <c r="M338" s="32">
        <f>IF($A338="","",L338*IFERROR(INDEX(Settings!$B$30:$B$36,MATCH($B338,Settings!$A$30:$A$36,0)),0))</f>
      </c>
      <c r="N338" s="32">
        <f t="shared" si="26"/>
      </c>
      <c r="O338" s="33">
        <f t="shared" si="27"/>
      </c>
      <c r="P338" s="32">
        <f t="shared" si="28"/>
      </c>
      <c r="Q338" s="33">
        <f t="shared" si="29"/>
      </c>
    </row>
    <row r="339" spans="1:17" x14ac:dyDescent="0.25">
      <c r="A339" s="22"/>
      <c r="B339" s="5"/>
      <c r="C339" s="5"/>
      <c r="D339" s="5"/>
      <c r="E339" s="5"/>
      <c r="F339" s="5"/>
      <c r="G339" s="5"/>
      <c r="H339" s="23"/>
      <c r="I339" s="23"/>
      <c r="J339" s="5"/>
      <c r="K339" s="31">
        <f t="shared" si="25"/>
      </c>
      <c r="L339" s="32">
        <f>IF($A339="","",C339*SUMIFS(Settings!$B$21:$B$25,Settings!$A$21:$A$25,SUMPRODUCT(MAX((Settings!$A$21:$A$25&lt;=$A339)*Settings!$A$21:$A$25)))+D339*SUMIFS(Settings!$C$21:$C$25,Settings!$A$21:$A$25,SUMPRODUCT(MAX((Settings!$A$21:$A$25&lt;=$A339)*Settings!$A$21:$A$25))))</f>
      </c>
      <c r="M339" s="32">
        <f>IF($A339="","",L339*IFERROR(INDEX(Settings!$B$30:$B$36,MATCH($B339,Settings!$A$30:$A$36,0)),0))</f>
      </c>
      <c r="N339" s="32">
        <f t="shared" si="26"/>
      </c>
      <c r="O339" s="33">
        <f t="shared" si="27"/>
      </c>
      <c r="P339" s="32">
        <f t="shared" si="28"/>
      </c>
      <c r="Q339" s="33">
        <f t="shared" si="29"/>
      </c>
    </row>
    <row r="340" spans="1:17" x14ac:dyDescent="0.25">
      <c r="A340" s="22"/>
      <c r="B340" s="5"/>
      <c r="C340" s="5"/>
      <c r="D340" s="5"/>
      <c r="E340" s="5"/>
      <c r="F340" s="5"/>
      <c r="G340" s="5"/>
      <c r="H340" s="23"/>
      <c r="I340" s="23"/>
      <c r="J340" s="5"/>
      <c r="K340" s="31">
        <f t="shared" si="25"/>
      </c>
      <c r="L340" s="32">
        <f>IF($A340="","",C340*SUMIFS(Settings!$B$21:$B$25,Settings!$A$21:$A$25,SUMPRODUCT(MAX((Settings!$A$21:$A$25&lt;=$A340)*Settings!$A$21:$A$25)))+D340*SUMIFS(Settings!$C$21:$C$25,Settings!$A$21:$A$25,SUMPRODUCT(MAX((Settings!$A$21:$A$25&lt;=$A340)*Settings!$A$21:$A$25))))</f>
      </c>
      <c r="M340" s="32">
        <f>IF($A340="","",L340*IFERROR(INDEX(Settings!$B$30:$B$36,MATCH($B340,Settings!$A$30:$A$36,0)),0))</f>
      </c>
      <c r="N340" s="32">
        <f t="shared" si="26"/>
      </c>
      <c r="O340" s="33">
        <f t="shared" si="27"/>
      </c>
      <c r="P340" s="32">
        <f t="shared" si="28"/>
      </c>
      <c r="Q340" s="33">
        <f t="shared" si="29"/>
      </c>
    </row>
    <row r="341" spans="1:17" x14ac:dyDescent="0.25">
      <c r="A341" s="22"/>
      <c r="B341" s="5"/>
      <c r="C341" s="5"/>
      <c r="D341" s="5"/>
      <c r="E341" s="5"/>
      <c r="F341" s="5"/>
      <c r="G341" s="5"/>
      <c r="H341" s="23"/>
      <c r="I341" s="23"/>
      <c r="J341" s="5"/>
      <c r="K341" s="31">
        <f t="shared" si="25"/>
      </c>
      <c r="L341" s="32">
        <f>IF($A341="","",C341*SUMIFS(Settings!$B$21:$B$25,Settings!$A$21:$A$25,SUMPRODUCT(MAX((Settings!$A$21:$A$25&lt;=$A341)*Settings!$A$21:$A$25)))+D341*SUMIFS(Settings!$C$21:$C$25,Settings!$A$21:$A$25,SUMPRODUCT(MAX((Settings!$A$21:$A$25&lt;=$A341)*Settings!$A$21:$A$25))))</f>
      </c>
      <c r="M341" s="32">
        <f>IF($A341="","",L341*IFERROR(INDEX(Settings!$B$30:$B$36,MATCH($B341,Settings!$A$30:$A$36,0)),0))</f>
      </c>
      <c r="N341" s="32">
        <f t="shared" si="26"/>
      </c>
      <c r="O341" s="33">
        <f t="shared" si="27"/>
      </c>
      <c r="P341" s="32">
        <f t="shared" si="28"/>
      </c>
      <c r="Q341" s="33">
        <f t="shared" si="29"/>
      </c>
    </row>
    <row r="342" spans="1:17" x14ac:dyDescent="0.25">
      <c r="A342" s="22"/>
      <c r="B342" s="5"/>
      <c r="C342" s="5"/>
      <c r="D342" s="5"/>
      <c r="E342" s="5"/>
      <c r="F342" s="5"/>
      <c r="G342" s="5"/>
      <c r="H342" s="23"/>
      <c r="I342" s="23"/>
      <c r="J342" s="5"/>
      <c r="K342" s="31">
        <f t="shared" si="25"/>
      </c>
      <c r="L342" s="32">
        <f>IF($A342="","",C342*SUMIFS(Settings!$B$21:$B$25,Settings!$A$21:$A$25,SUMPRODUCT(MAX((Settings!$A$21:$A$25&lt;=$A342)*Settings!$A$21:$A$25)))+D342*SUMIFS(Settings!$C$21:$C$25,Settings!$A$21:$A$25,SUMPRODUCT(MAX((Settings!$A$21:$A$25&lt;=$A342)*Settings!$A$21:$A$25))))</f>
      </c>
      <c r="M342" s="32">
        <f>IF($A342="","",L342*IFERROR(INDEX(Settings!$B$30:$B$36,MATCH($B342,Settings!$A$30:$A$36,0)),0))</f>
      </c>
      <c r="N342" s="32">
        <f t="shared" si="26"/>
      </c>
      <c r="O342" s="33">
        <f t="shared" si="27"/>
      </c>
      <c r="P342" s="32">
        <f t="shared" si="28"/>
      </c>
      <c r="Q342" s="33">
        <f t="shared" si="29"/>
      </c>
    </row>
    <row r="343" spans="1:17" x14ac:dyDescent="0.25">
      <c r="A343" s="22"/>
      <c r="B343" s="5"/>
      <c r="C343" s="5"/>
      <c r="D343" s="5"/>
      <c r="E343" s="5"/>
      <c r="F343" s="5"/>
      <c r="G343" s="5"/>
      <c r="H343" s="23"/>
      <c r="I343" s="23"/>
      <c r="J343" s="5"/>
      <c r="K343" s="31">
        <f t="shared" si="25"/>
      </c>
      <c r="L343" s="32">
        <f>IF($A343="","",C343*SUMIFS(Settings!$B$21:$B$25,Settings!$A$21:$A$25,SUMPRODUCT(MAX((Settings!$A$21:$A$25&lt;=$A343)*Settings!$A$21:$A$25)))+D343*SUMIFS(Settings!$C$21:$C$25,Settings!$A$21:$A$25,SUMPRODUCT(MAX((Settings!$A$21:$A$25&lt;=$A343)*Settings!$A$21:$A$25))))</f>
      </c>
      <c r="M343" s="32">
        <f>IF($A343="","",L343*IFERROR(INDEX(Settings!$B$30:$B$36,MATCH($B343,Settings!$A$30:$A$36,0)),0))</f>
      </c>
      <c r="N343" s="32">
        <f t="shared" si="26"/>
      </c>
      <c r="O343" s="33">
        <f t="shared" si="27"/>
      </c>
      <c r="P343" s="32">
        <f t="shared" si="28"/>
      </c>
      <c r="Q343" s="33">
        <f t="shared" si="29"/>
      </c>
    </row>
    <row r="344" spans="1:17" x14ac:dyDescent="0.25">
      <c r="A344" s="22"/>
      <c r="B344" s="5"/>
      <c r="C344" s="5"/>
      <c r="D344" s="5"/>
      <c r="E344" s="5"/>
      <c r="F344" s="5"/>
      <c r="G344" s="5"/>
      <c r="H344" s="23"/>
      <c r="I344" s="23"/>
      <c r="J344" s="5"/>
      <c r="K344" s="31">
        <f t="shared" si="25"/>
      </c>
      <c r="L344" s="32">
        <f>IF($A344="","",C344*SUMIFS(Settings!$B$21:$B$25,Settings!$A$21:$A$25,SUMPRODUCT(MAX((Settings!$A$21:$A$25&lt;=$A344)*Settings!$A$21:$A$25)))+D344*SUMIFS(Settings!$C$21:$C$25,Settings!$A$21:$A$25,SUMPRODUCT(MAX((Settings!$A$21:$A$25&lt;=$A344)*Settings!$A$21:$A$25))))</f>
      </c>
      <c r="M344" s="32">
        <f>IF($A344="","",L344*IFERROR(INDEX(Settings!$B$30:$B$36,MATCH($B344,Settings!$A$30:$A$36,0)),0))</f>
      </c>
      <c r="N344" s="32">
        <f t="shared" si="26"/>
      </c>
      <c r="O344" s="33">
        <f t="shared" si="27"/>
      </c>
      <c r="P344" s="32">
        <f t="shared" si="28"/>
      </c>
      <c r="Q344" s="33">
        <f t="shared" si="29"/>
      </c>
    </row>
    <row r="345" spans="1:17" x14ac:dyDescent="0.25">
      <c r="A345" s="22"/>
      <c r="B345" s="5"/>
      <c r="C345" s="5"/>
      <c r="D345" s="5"/>
      <c r="E345" s="5"/>
      <c r="F345" s="5"/>
      <c r="G345" s="5"/>
      <c r="H345" s="23"/>
      <c r="I345" s="23"/>
      <c r="J345" s="5"/>
      <c r="K345" s="31">
        <f t="shared" si="25"/>
      </c>
      <c r="L345" s="32">
        <f>IF($A345="","",C345*SUMIFS(Settings!$B$21:$B$25,Settings!$A$21:$A$25,SUMPRODUCT(MAX((Settings!$A$21:$A$25&lt;=$A345)*Settings!$A$21:$A$25)))+D345*SUMIFS(Settings!$C$21:$C$25,Settings!$A$21:$A$25,SUMPRODUCT(MAX((Settings!$A$21:$A$25&lt;=$A345)*Settings!$A$21:$A$25))))</f>
      </c>
      <c r="M345" s="32">
        <f>IF($A345="","",L345*IFERROR(INDEX(Settings!$B$30:$B$36,MATCH($B345,Settings!$A$30:$A$36,0)),0))</f>
      </c>
      <c r="N345" s="32">
        <f t="shared" si="26"/>
      </c>
      <c r="O345" s="33">
        <f t="shared" si="27"/>
      </c>
      <c r="P345" s="32">
        <f t="shared" si="28"/>
      </c>
      <c r="Q345" s="33">
        <f t="shared" si="29"/>
      </c>
    </row>
    <row r="346" spans="1:17" x14ac:dyDescent="0.25">
      <c r="A346" s="22"/>
      <c r="B346" s="5"/>
      <c r="C346" s="5"/>
      <c r="D346" s="5"/>
      <c r="E346" s="5"/>
      <c r="F346" s="5"/>
      <c r="G346" s="5"/>
      <c r="H346" s="23"/>
      <c r="I346" s="23"/>
      <c r="J346" s="5"/>
      <c r="K346" s="31">
        <f t="shared" si="25"/>
      </c>
      <c r="L346" s="32">
        <f>IF($A346="","",C346*SUMIFS(Settings!$B$21:$B$25,Settings!$A$21:$A$25,SUMPRODUCT(MAX((Settings!$A$21:$A$25&lt;=$A346)*Settings!$A$21:$A$25)))+D346*SUMIFS(Settings!$C$21:$C$25,Settings!$A$21:$A$25,SUMPRODUCT(MAX((Settings!$A$21:$A$25&lt;=$A346)*Settings!$A$21:$A$25))))</f>
      </c>
      <c r="M346" s="32">
        <f>IF($A346="","",L346*IFERROR(INDEX(Settings!$B$30:$B$36,MATCH($B346,Settings!$A$30:$A$36,0)),0))</f>
      </c>
      <c r="N346" s="32">
        <f t="shared" si="26"/>
      </c>
      <c r="O346" s="33">
        <f t="shared" si="27"/>
      </c>
      <c r="P346" s="32">
        <f t="shared" si="28"/>
      </c>
      <c r="Q346" s="33">
        <f t="shared" si="29"/>
      </c>
    </row>
    <row r="347" spans="1:17" x14ac:dyDescent="0.25">
      <c r="A347" s="22"/>
      <c r="B347" s="5"/>
      <c r="C347" s="5"/>
      <c r="D347" s="5"/>
      <c r="E347" s="5"/>
      <c r="F347" s="5"/>
      <c r="G347" s="5"/>
      <c r="H347" s="23"/>
      <c r="I347" s="23"/>
      <c r="J347" s="5"/>
      <c r="K347" s="31">
        <f t="shared" si="25"/>
      </c>
      <c r="L347" s="32">
        <f>IF($A347="","",C347*SUMIFS(Settings!$B$21:$B$25,Settings!$A$21:$A$25,SUMPRODUCT(MAX((Settings!$A$21:$A$25&lt;=$A347)*Settings!$A$21:$A$25)))+D347*SUMIFS(Settings!$C$21:$C$25,Settings!$A$21:$A$25,SUMPRODUCT(MAX((Settings!$A$21:$A$25&lt;=$A347)*Settings!$A$21:$A$25))))</f>
      </c>
      <c r="M347" s="32">
        <f>IF($A347="","",L347*IFERROR(INDEX(Settings!$B$30:$B$36,MATCH($B347,Settings!$A$30:$A$36,0)),0))</f>
      </c>
      <c r="N347" s="32">
        <f t="shared" si="26"/>
      </c>
      <c r="O347" s="33">
        <f t="shared" si="27"/>
      </c>
      <c r="P347" s="32">
        <f t="shared" si="28"/>
      </c>
      <c r="Q347" s="33">
        <f t="shared" si="29"/>
      </c>
    </row>
    <row r="348" spans="1:17" x14ac:dyDescent="0.25">
      <c r="A348" s="22"/>
      <c r="B348" s="5"/>
      <c r="C348" s="5"/>
      <c r="D348" s="5"/>
      <c r="E348" s="5"/>
      <c r="F348" s="5"/>
      <c r="G348" s="5"/>
      <c r="H348" s="23"/>
      <c r="I348" s="23"/>
      <c r="J348" s="5"/>
      <c r="K348" s="31">
        <f t="shared" si="25"/>
      </c>
      <c r="L348" s="32">
        <f>IF($A348="","",C348*SUMIFS(Settings!$B$21:$B$25,Settings!$A$21:$A$25,SUMPRODUCT(MAX((Settings!$A$21:$A$25&lt;=$A348)*Settings!$A$21:$A$25)))+D348*SUMIFS(Settings!$C$21:$C$25,Settings!$A$21:$A$25,SUMPRODUCT(MAX((Settings!$A$21:$A$25&lt;=$A348)*Settings!$A$21:$A$25))))</f>
      </c>
      <c r="M348" s="32">
        <f>IF($A348="","",L348*IFERROR(INDEX(Settings!$B$30:$B$36,MATCH($B348,Settings!$A$30:$A$36,0)),0))</f>
      </c>
      <c r="N348" s="32">
        <f t="shared" si="26"/>
      </c>
      <c r="O348" s="33">
        <f t="shared" si="27"/>
      </c>
      <c r="P348" s="32">
        <f t="shared" si="28"/>
      </c>
      <c r="Q348" s="33">
        <f t="shared" si="29"/>
      </c>
    </row>
    <row r="349" spans="1:17" x14ac:dyDescent="0.25">
      <c r="A349" s="22"/>
      <c r="B349" s="5"/>
      <c r="C349" s="5"/>
      <c r="D349" s="5"/>
      <c r="E349" s="5"/>
      <c r="F349" s="5"/>
      <c r="G349" s="5"/>
      <c r="H349" s="23"/>
      <c r="I349" s="23"/>
      <c r="J349" s="5"/>
      <c r="K349" s="31">
        <f t="shared" si="25"/>
      </c>
      <c r="L349" s="32">
        <f>IF($A349="","",C349*SUMIFS(Settings!$B$21:$B$25,Settings!$A$21:$A$25,SUMPRODUCT(MAX((Settings!$A$21:$A$25&lt;=$A349)*Settings!$A$21:$A$25)))+D349*SUMIFS(Settings!$C$21:$C$25,Settings!$A$21:$A$25,SUMPRODUCT(MAX((Settings!$A$21:$A$25&lt;=$A349)*Settings!$A$21:$A$25))))</f>
      </c>
      <c r="M349" s="32">
        <f>IF($A349="","",L349*IFERROR(INDEX(Settings!$B$30:$B$36,MATCH($B349,Settings!$A$30:$A$36,0)),0))</f>
      </c>
      <c r="N349" s="32">
        <f t="shared" si="26"/>
      </c>
      <c r="O349" s="33">
        <f t="shared" si="27"/>
      </c>
      <c r="P349" s="32">
        <f t="shared" si="28"/>
      </c>
      <c r="Q349" s="33">
        <f t="shared" si="29"/>
      </c>
    </row>
    <row r="350" spans="1:17" x14ac:dyDescent="0.25">
      <c r="A350" s="22"/>
      <c r="B350" s="5"/>
      <c r="C350" s="5"/>
      <c r="D350" s="5"/>
      <c r="E350" s="5"/>
      <c r="F350" s="5"/>
      <c r="G350" s="5"/>
      <c r="H350" s="23"/>
      <c r="I350" s="23"/>
      <c r="J350" s="5"/>
      <c r="K350" s="31">
        <f t="shared" si="25"/>
      </c>
      <c r="L350" s="32">
        <f>IF($A350="","",C350*SUMIFS(Settings!$B$21:$B$25,Settings!$A$21:$A$25,SUMPRODUCT(MAX((Settings!$A$21:$A$25&lt;=$A350)*Settings!$A$21:$A$25)))+D350*SUMIFS(Settings!$C$21:$C$25,Settings!$A$21:$A$25,SUMPRODUCT(MAX((Settings!$A$21:$A$25&lt;=$A350)*Settings!$A$21:$A$25))))</f>
      </c>
      <c r="M350" s="32">
        <f>IF($A350="","",L350*IFERROR(INDEX(Settings!$B$30:$B$36,MATCH($B350,Settings!$A$30:$A$36,0)),0))</f>
      </c>
      <c r="N350" s="32">
        <f t="shared" si="26"/>
      </c>
      <c r="O350" s="33">
        <f t="shared" si="27"/>
      </c>
      <c r="P350" s="32">
        <f t="shared" si="28"/>
      </c>
      <c r="Q350" s="33">
        <f t="shared" si="29"/>
      </c>
    </row>
    <row r="351" spans="1:17" x14ac:dyDescent="0.25">
      <c r="A351" s="22"/>
      <c r="B351" s="5"/>
      <c r="C351" s="5"/>
      <c r="D351" s="5"/>
      <c r="E351" s="5"/>
      <c r="F351" s="5"/>
      <c r="G351" s="5"/>
      <c r="H351" s="23"/>
      <c r="I351" s="23"/>
      <c r="J351" s="5"/>
      <c r="K351" s="31">
        <f t="shared" si="25"/>
      </c>
      <c r="L351" s="32">
        <f>IF($A351="","",C351*SUMIFS(Settings!$B$21:$B$25,Settings!$A$21:$A$25,SUMPRODUCT(MAX((Settings!$A$21:$A$25&lt;=$A351)*Settings!$A$21:$A$25)))+D351*SUMIFS(Settings!$C$21:$C$25,Settings!$A$21:$A$25,SUMPRODUCT(MAX((Settings!$A$21:$A$25&lt;=$A351)*Settings!$A$21:$A$25))))</f>
      </c>
      <c r="M351" s="32">
        <f>IF($A351="","",L351*IFERROR(INDEX(Settings!$B$30:$B$36,MATCH($B351,Settings!$A$30:$A$36,0)),0))</f>
      </c>
      <c r="N351" s="32">
        <f t="shared" si="26"/>
      </c>
      <c r="O351" s="33">
        <f t="shared" si="27"/>
      </c>
      <c r="P351" s="32">
        <f t="shared" si="28"/>
      </c>
      <c r="Q351" s="33">
        <f t="shared" si="29"/>
      </c>
    </row>
    <row r="352" spans="1:17" x14ac:dyDescent="0.25">
      <c r="A352" s="22"/>
      <c r="B352" s="5"/>
      <c r="C352" s="5"/>
      <c r="D352" s="5"/>
      <c r="E352" s="5"/>
      <c r="F352" s="5"/>
      <c r="G352" s="5"/>
      <c r="H352" s="23"/>
      <c r="I352" s="23"/>
      <c r="J352" s="5"/>
      <c r="K352" s="31">
        <f t="shared" si="25"/>
      </c>
      <c r="L352" s="32">
        <f>IF($A352="","",C352*SUMIFS(Settings!$B$21:$B$25,Settings!$A$21:$A$25,SUMPRODUCT(MAX((Settings!$A$21:$A$25&lt;=$A352)*Settings!$A$21:$A$25)))+D352*SUMIFS(Settings!$C$21:$C$25,Settings!$A$21:$A$25,SUMPRODUCT(MAX((Settings!$A$21:$A$25&lt;=$A352)*Settings!$A$21:$A$25))))</f>
      </c>
      <c r="M352" s="32">
        <f>IF($A352="","",L352*IFERROR(INDEX(Settings!$B$30:$B$36,MATCH($B352,Settings!$A$30:$A$36,0)),0))</f>
      </c>
      <c r="N352" s="32">
        <f t="shared" si="26"/>
      </c>
      <c r="O352" s="33">
        <f t="shared" si="27"/>
      </c>
      <c r="P352" s="32">
        <f t="shared" si="28"/>
      </c>
      <c r="Q352" s="33">
        <f t="shared" si="29"/>
      </c>
    </row>
    <row r="353" spans="1:17" x14ac:dyDescent="0.25">
      <c r="A353" s="22"/>
      <c r="B353" s="5"/>
      <c r="C353" s="5"/>
      <c r="D353" s="5"/>
      <c r="E353" s="5"/>
      <c r="F353" s="5"/>
      <c r="G353" s="5"/>
      <c r="H353" s="23"/>
      <c r="I353" s="23"/>
      <c r="J353" s="5"/>
      <c r="K353" s="31">
        <f t="shared" si="25"/>
      </c>
      <c r="L353" s="32">
        <f>IF($A353="","",C353*SUMIFS(Settings!$B$21:$B$25,Settings!$A$21:$A$25,SUMPRODUCT(MAX((Settings!$A$21:$A$25&lt;=$A353)*Settings!$A$21:$A$25)))+D353*SUMIFS(Settings!$C$21:$C$25,Settings!$A$21:$A$25,SUMPRODUCT(MAX((Settings!$A$21:$A$25&lt;=$A353)*Settings!$A$21:$A$25))))</f>
      </c>
      <c r="M353" s="32">
        <f>IF($A353="","",L353*IFERROR(INDEX(Settings!$B$30:$B$36,MATCH($B353,Settings!$A$30:$A$36,0)),0))</f>
      </c>
      <c r="N353" s="32">
        <f t="shared" si="26"/>
      </c>
      <c r="O353" s="33">
        <f t="shared" si="27"/>
      </c>
      <c r="P353" s="32">
        <f t="shared" si="28"/>
      </c>
      <c r="Q353" s="33">
        <f t="shared" si="29"/>
      </c>
    </row>
    <row r="354" spans="1:17" x14ac:dyDescent="0.25">
      <c r="A354" s="22"/>
      <c r="B354" s="5"/>
      <c r="C354" s="5"/>
      <c r="D354" s="5"/>
      <c r="E354" s="5"/>
      <c r="F354" s="5"/>
      <c r="G354" s="5"/>
      <c r="H354" s="23"/>
      <c r="I354" s="23"/>
      <c r="J354" s="5"/>
      <c r="K354" s="31">
        <f t="shared" si="25"/>
      </c>
      <c r="L354" s="32">
        <f>IF($A354="","",C354*SUMIFS(Settings!$B$21:$B$25,Settings!$A$21:$A$25,SUMPRODUCT(MAX((Settings!$A$21:$A$25&lt;=$A354)*Settings!$A$21:$A$25)))+D354*SUMIFS(Settings!$C$21:$C$25,Settings!$A$21:$A$25,SUMPRODUCT(MAX((Settings!$A$21:$A$25&lt;=$A354)*Settings!$A$21:$A$25))))</f>
      </c>
      <c r="M354" s="32">
        <f>IF($A354="","",L354*IFERROR(INDEX(Settings!$B$30:$B$36,MATCH($B354,Settings!$A$30:$A$36,0)),0))</f>
      </c>
      <c r="N354" s="32">
        <f t="shared" si="26"/>
      </c>
      <c r="O354" s="33">
        <f t="shared" si="27"/>
      </c>
      <c r="P354" s="32">
        <f t="shared" si="28"/>
      </c>
      <c r="Q354" s="33">
        <f t="shared" si="29"/>
      </c>
    </row>
    <row r="355" spans="1:17" x14ac:dyDescent="0.25">
      <c r="A355" s="22"/>
      <c r="B355" s="5"/>
      <c r="C355" s="5"/>
      <c r="D355" s="5"/>
      <c r="E355" s="5"/>
      <c r="F355" s="5"/>
      <c r="G355" s="5"/>
      <c r="H355" s="23"/>
      <c r="I355" s="23"/>
      <c r="J355" s="5"/>
      <c r="K355" s="31">
        <f t="shared" si="25"/>
      </c>
      <c r="L355" s="32">
        <f>IF($A355="","",C355*SUMIFS(Settings!$B$21:$B$25,Settings!$A$21:$A$25,SUMPRODUCT(MAX((Settings!$A$21:$A$25&lt;=$A355)*Settings!$A$21:$A$25)))+D355*SUMIFS(Settings!$C$21:$C$25,Settings!$A$21:$A$25,SUMPRODUCT(MAX((Settings!$A$21:$A$25&lt;=$A355)*Settings!$A$21:$A$25))))</f>
      </c>
      <c r="M355" s="32">
        <f>IF($A355="","",L355*IFERROR(INDEX(Settings!$B$30:$B$36,MATCH($B355,Settings!$A$30:$A$36,0)),0))</f>
      </c>
      <c r="N355" s="32">
        <f t="shared" si="26"/>
      </c>
      <c r="O355" s="33">
        <f t="shared" si="27"/>
      </c>
      <c r="P355" s="32">
        <f t="shared" si="28"/>
      </c>
      <c r="Q355" s="33">
        <f t="shared" si="29"/>
      </c>
    </row>
    <row r="356" spans="1:17" x14ac:dyDescent="0.25">
      <c r="A356" s="22"/>
      <c r="B356" s="5"/>
      <c r="C356" s="5"/>
      <c r="D356" s="5"/>
      <c r="E356" s="5"/>
      <c r="F356" s="5"/>
      <c r="G356" s="5"/>
      <c r="H356" s="23"/>
      <c r="I356" s="23"/>
      <c r="J356" s="5"/>
      <c r="K356" s="31">
        <f t="shared" si="25"/>
      </c>
      <c r="L356" s="32">
        <f>IF($A356="","",C356*SUMIFS(Settings!$B$21:$B$25,Settings!$A$21:$A$25,SUMPRODUCT(MAX((Settings!$A$21:$A$25&lt;=$A356)*Settings!$A$21:$A$25)))+D356*SUMIFS(Settings!$C$21:$C$25,Settings!$A$21:$A$25,SUMPRODUCT(MAX((Settings!$A$21:$A$25&lt;=$A356)*Settings!$A$21:$A$25))))</f>
      </c>
      <c r="M356" s="32">
        <f>IF($A356="","",L356*IFERROR(INDEX(Settings!$B$30:$B$36,MATCH($B356,Settings!$A$30:$A$36,0)),0))</f>
      </c>
      <c r="N356" s="32">
        <f t="shared" si="26"/>
      </c>
      <c r="O356" s="33">
        <f t="shared" si="27"/>
      </c>
      <c r="P356" s="32">
        <f t="shared" si="28"/>
      </c>
      <c r="Q356" s="33">
        <f t="shared" si="29"/>
      </c>
    </row>
    <row r="357" spans="1:17" x14ac:dyDescent="0.25">
      <c r="A357" s="22"/>
      <c r="B357" s="5"/>
      <c r="C357" s="5"/>
      <c r="D357" s="5"/>
      <c r="E357" s="5"/>
      <c r="F357" s="5"/>
      <c r="G357" s="5"/>
      <c r="H357" s="23"/>
      <c r="I357" s="23"/>
      <c r="J357" s="5"/>
      <c r="K357" s="31">
        <f t="shared" si="25"/>
      </c>
      <c r="L357" s="32">
        <f>IF($A357="","",C357*SUMIFS(Settings!$B$21:$B$25,Settings!$A$21:$A$25,SUMPRODUCT(MAX((Settings!$A$21:$A$25&lt;=$A357)*Settings!$A$21:$A$25)))+D357*SUMIFS(Settings!$C$21:$C$25,Settings!$A$21:$A$25,SUMPRODUCT(MAX((Settings!$A$21:$A$25&lt;=$A357)*Settings!$A$21:$A$25))))</f>
      </c>
      <c r="M357" s="32">
        <f>IF($A357="","",L357*IFERROR(INDEX(Settings!$B$30:$B$36,MATCH($B357,Settings!$A$30:$A$36,0)),0))</f>
      </c>
      <c r="N357" s="32">
        <f t="shared" si="26"/>
      </c>
      <c r="O357" s="33">
        <f t="shared" si="27"/>
      </c>
      <c r="P357" s="32">
        <f t="shared" si="28"/>
      </c>
      <c r="Q357" s="33">
        <f t="shared" si="29"/>
      </c>
    </row>
    <row r="358" spans="1:17" x14ac:dyDescent="0.25">
      <c r="A358" s="22"/>
      <c r="B358" s="5"/>
      <c r="C358" s="5"/>
      <c r="D358" s="5"/>
      <c r="E358" s="5"/>
      <c r="F358" s="5"/>
      <c r="G358" s="5"/>
      <c r="H358" s="23"/>
      <c r="I358" s="23"/>
      <c r="J358" s="5"/>
      <c r="K358" s="31">
        <f t="shared" si="25"/>
      </c>
      <c r="L358" s="32">
        <f>IF($A358="","",C358*SUMIFS(Settings!$B$21:$B$25,Settings!$A$21:$A$25,SUMPRODUCT(MAX((Settings!$A$21:$A$25&lt;=$A358)*Settings!$A$21:$A$25)))+D358*SUMIFS(Settings!$C$21:$C$25,Settings!$A$21:$A$25,SUMPRODUCT(MAX((Settings!$A$21:$A$25&lt;=$A358)*Settings!$A$21:$A$25))))</f>
      </c>
      <c r="M358" s="32">
        <f>IF($A358="","",L358*IFERROR(INDEX(Settings!$B$30:$B$36,MATCH($B358,Settings!$A$30:$A$36,0)),0))</f>
      </c>
      <c r="N358" s="32">
        <f t="shared" si="26"/>
      </c>
      <c r="O358" s="33">
        <f t="shared" si="27"/>
      </c>
      <c r="P358" s="32">
        <f t="shared" si="28"/>
      </c>
      <c r="Q358" s="33">
        <f t="shared" si="29"/>
      </c>
    </row>
    <row r="359" spans="1:17" x14ac:dyDescent="0.25">
      <c r="A359" s="22"/>
      <c r="B359" s="5"/>
      <c r="C359" s="5"/>
      <c r="D359" s="5"/>
      <c r="E359" s="5"/>
      <c r="F359" s="5"/>
      <c r="G359" s="5"/>
      <c r="H359" s="23"/>
      <c r="I359" s="23"/>
      <c r="J359" s="5"/>
      <c r="K359" s="31">
        <f t="shared" si="25"/>
      </c>
      <c r="L359" s="32">
        <f>IF($A359="","",C359*SUMIFS(Settings!$B$21:$B$25,Settings!$A$21:$A$25,SUMPRODUCT(MAX((Settings!$A$21:$A$25&lt;=$A359)*Settings!$A$21:$A$25)))+D359*SUMIFS(Settings!$C$21:$C$25,Settings!$A$21:$A$25,SUMPRODUCT(MAX((Settings!$A$21:$A$25&lt;=$A359)*Settings!$A$21:$A$25))))</f>
      </c>
      <c r="M359" s="32">
        <f>IF($A359="","",L359*IFERROR(INDEX(Settings!$B$30:$B$36,MATCH($B359,Settings!$A$30:$A$36,0)),0))</f>
      </c>
      <c r="N359" s="32">
        <f t="shared" si="26"/>
      </c>
      <c r="O359" s="33">
        <f t="shared" si="27"/>
      </c>
      <c r="P359" s="32">
        <f t="shared" si="28"/>
      </c>
      <c r="Q359" s="33">
        <f t="shared" si="29"/>
      </c>
    </row>
    <row r="360" spans="1:17" x14ac:dyDescent="0.25">
      <c r="A360" s="22"/>
      <c r="B360" s="5"/>
      <c r="C360" s="5"/>
      <c r="D360" s="5"/>
      <c r="E360" s="5"/>
      <c r="F360" s="5"/>
      <c r="G360" s="5"/>
      <c r="H360" s="23"/>
      <c r="I360" s="23"/>
      <c r="J360" s="5"/>
      <c r="K360" s="31">
        <f t="shared" si="25"/>
      </c>
      <c r="L360" s="32">
        <f>IF($A360="","",C360*SUMIFS(Settings!$B$21:$B$25,Settings!$A$21:$A$25,SUMPRODUCT(MAX((Settings!$A$21:$A$25&lt;=$A360)*Settings!$A$21:$A$25)))+D360*SUMIFS(Settings!$C$21:$C$25,Settings!$A$21:$A$25,SUMPRODUCT(MAX((Settings!$A$21:$A$25&lt;=$A360)*Settings!$A$21:$A$25))))</f>
      </c>
      <c r="M360" s="32">
        <f>IF($A360="","",L360*IFERROR(INDEX(Settings!$B$30:$B$36,MATCH($B360,Settings!$A$30:$A$36,0)),0))</f>
      </c>
      <c r="N360" s="32">
        <f t="shared" si="26"/>
      </c>
      <c r="O360" s="33">
        <f t="shared" si="27"/>
      </c>
      <c r="P360" s="32">
        <f t="shared" si="28"/>
      </c>
      <c r="Q360" s="33">
        <f t="shared" si="29"/>
      </c>
    </row>
    <row r="361" spans="1:17" x14ac:dyDescent="0.25">
      <c r="A361" s="22"/>
      <c r="B361" s="5"/>
      <c r="C361" s="5"/>
      <c r="D361" s="5"/>
      <c r="E361" s="5"/>
      <c r="F361" s="5"/>
      <c r="G361" s="5"/>
      <c r="H361" s="23"/>
      <c r="I361" s="23"/>
      <c r="J361" s="5"/>
      <c r="K361" s="31">
        <f t="shared" si="25"/>
      </c>
      <c r="L361" s="32">
        <f>IF($A361="","",C361*SUMIFS(Settings!$B$21:$B$25,Settings!$A$21:$A$25,SUMPRODUCT(MAX((Settings!$A$21:$A$25&lt;=$A361)*Settings!$A$21:$A$25)))+D361*SUMIFS(Settings!$C$21:$C$25,Settings!$A$21:$A$25,SUMPRODUCT(MAX((Settings!$A$21:$A$25&lt;=$A361)*Settings!$A$21:$A$25))))</f>
      </c>
      <c r="M361" s="32">
        <f>IF($A361="","",L361*IFERROR(INDEX(Settings!$B$30:$B$36,MATCH($B361,Settings!$A$30:$A$36,0)),0))</f>
      </c>
      <c r="N361" s="32">
        <f t="shared" si="26"/>
      </c>
      <c r="O361" s="33">
        <f t="shared" si="27"/>
      </c>
      <c r="P361" s="32">
        <f t="shared" si="28"/>
      </c>
      <c r="Q361" s="33">
        <f t="shared" si="29"/>
      </c>
    </row>
    <row r="362" spans="1:17" x14ac:dyDescent="0.25">
      <c r="A362" s="22"/>
      <c r="B362" s="5"/>
      <c r="C362" s="5"/>
      <c r="D362" s="5"/>
      <c r="E362" s="5"/>
      <c r="F362" s="5"/>
      <c r="G362" s="5"/>
      <c r="H362" s="23"/>
      <c r="I362" s="23"/>
      <c r="J362" s="5"/>
      <c r="K362" s="31">
        <f t="shared" si="25"/>
      </c>
      <c r="L362" s="32">
        <f>IF($A362="","",C362*SUMIFS(Settings!$B$21:$B$25,Settings!$A$21:$A$25,SUMPRODUCT(MAX((Settings!$A$21:$A$25&lt;=$A362)*Settings!$A$21:$A$25)))+D362*SUMIFS(Settings!$C$21:$C$25,Settings!$A$21:$A$25,SUMPRODUCT(MAX((Settings!$A$21:$A$25&lt;=$A362)*Settings!$A$21:$A$25))))</f>
      </c>
      <c r="M362" s="32">
        <f>IF($A362="","",L362*IFERROR(INDEX(Settings!$B$30:$B$36,MATCH($B362,Settings!$A$30:$A$36,0)),0))</f>
      </c>
      <c r="N362" s="32">
        <f t="shared" si="26"/>
      </c>
      <c r="O362" s="33">
        <f t="shared" si="27"/>
      </c>
      <c r="P362" s="32">
        <f t="shared" si="28"/>
      </c>
      <c r="Q362" s="33">
        <f t="shared" si="29"/>
      </c>
    </row>
    <row r="363" spans="1:17" x14ac:dyDescent="0.25">
      <c r="A363" s="22"/>
      <c r="B363" s="5"/>
      <c r="C363" s="5"/>
      <c r="D363" s="5"/>
      <c r="E363" s="5"/>
      <c r="F363" s="5"/>
      <c r="G363" s="5"/>
      <c r="H363" s="23"/>
      <c r="I363" s="23"/>
      <c r="J363" s="5"/>
      <c r="K363" s="31">
        <f t="shared" si="25"/>
      </c>
      <c r="L363" s="32">
        <f>IF($A363="","",C363*SUMIFS(Settings!$B$21:$B$25,Settings!$A$21:$A$25,SUMPRODUCT(MAX((Settings!$A$21:$A$25&lt;=$A363)*Settings!$A$21:$A$25)))+D363*SUMIFS(Settings!$C$21:$C$25,Settings!$A$21:$A$25,SUMPRODUCT(MAX((Settings!$A$21:$A$25&lt;=$A363)*Settings!$A$21:$A$25))))</f>
      </c>
      <c r="M363" s="32">
        <f>IF($A363="","",L363*IFERROR(INDEX(Settings!$B$30:$B$36,MATCH($B363,Settings!$A$30:$A$36,0)),0))</f>
      </c>
      <c r="N363" s="32">
        <f t="shared" si="26"/>
      </c>
      <c r="O363" s="33">
        <f t="shared" si="27"/>
      </c>
      <c r="P363" s="32">
        <f t="shared" si="28"/>
      </c>
      <c r="Q363" s="33">
        <f t="shared" si="29"/>
      </c>
    </row>
    <row r="364" spans="1:17" x14ac:dyDescent="0.25">
      <c r="A364" s="22"/>
      <c r="B364" s="5"/>
      <c r="C364" s="5"/>
      <c r="D364" s="5"/>
      <c r="E364" s="5"/>
      <c r="F364" s="5"/>
      <c r="G364" s="5"/>
      <c r="H364" s="23"/>
      <c r="I364" s="23"/>
      <c r="J364" s="5"/>
      <c r="K364" s="31">
        <f t="shared" si="25"/>
      </c>
      <c r="L364" s="32">
        <f>IF($A364="","",C364*SUMIFS(Settings!$B$21:$B$25,Settings!$A$21:$A$25,SUMPRODUCT(MAX((Settings!$A$21:$A$25&lt;=$A364)*Settings!$A$21:$A$25)))+D364*SUMIFS(Settings!$C$21:$C$25,Settings!$A$21:$A$25,SUMPRODUCT(MAX((Settings!$A$21:$A$25&lt;=$A364)*Settings!$A$21:$A$25))))</f>
      </c>
      <c r="M364" s="32">
        <f>IF($A364="","",L364*IFERROR(INDEX(Settings!$B$30:$B$36,MATCH($B364,Settings!$A$30:$A$36,0)),0))</f>
      </c>
      <c r="N364" s="32">
        <f t="shared" si="26"/>
      </c>
      <c r="O364" s="33">
        <f t="shared" si="27"/>
      </c>
      <c r="P364" s="32">
        <f t="shared" si="28"/>
      </c>
      <c r="Q364" s="33">
        <f t="shared" si="29"/>
      </c>
    </row>
    <row r="365" spans="1:17" x14ac:dyDescent="0.25">
      <c r="A365" s="22"/>
      <c r="B365" s="5"/>
      <c r="C365" s="5"/>
      <c r="D365" s="5"/>
      <c r="E365" s="5"/>
      <c r="F365" s="5"/>
      <c r="G365" s="5"/>
      <c r="H365" s="23"/>
      <c r="I365" s="23"/>
      <c r="J365" s="5"/>
      <c r="K365" s="31">
        <f t="shared" si="25"/>
      </c>
      <c r="L365" s="32">
        <f>IF($A365="","",C365*SUMIFS(Settings!$B$21:$B$25,Settings!$A$21:$A$25,SUMPRODUCT(MAX((Settings!$A$21:$A$25&lt;=$A365)*Settings!$A$21:$A$25)))+D365*SUMIFS(Settings!$C$21:$C$25,Settings!$A$21:$A$25,SUMPRODUCT(MAX((Settings!$A$21:$A$25&lt;=$A365)*Settings!$A$21:$A$25))))</f>
      </c>
      <c r="M365" s="32">
        <f>IF($A365="","",L365*IFERROR(INDEX(Settings!$B$30:$B$36,MATCH($B365,Settings!$A$30:$A$36,0)),0))</f>
      </c>
      <c r="N365" s="32">
        <f t="shared" si="26"/>
      </c>
      <c r="O365" s="33">
        <f t="shared" si="27"/>
      </c>
      <c r="P365" s="32">
        <f t="shared" si="28"/>
      </c>
      <c r="Q365" s="33">
        <f t="shared" si="29"/>
      </c>
    </row>
    <row r="366" spans="1:17" x14ac:dyDescent="0.25">
      <c r="A366" s="22"/>
      <c r="B366" s="5"/>
      <c r="C366" s="5"/>
      <c r="D366" s="5"/>
      <c r="E366" s="5"/>
      <c r="F366" s="5"/>
      <c r="G366" s="5"/>
      <c r="H366" s="23"/>
      <c r="I366" s="23"/>
      <c r="J366" s="5"/>
      <c r="K366" s="31">
        <f t="shared" si="25"/>
      </c>
      <c r="L366" s="32">
        <f>IF($A366="","",C366*SUMIFS(Settings!$B$21:$B$25,Settings!$A$21:$A$25,SUMPRODUCT(MAX((Settings!$A$21:$A$25&lt;=$A366)*Settings!$A$21:$A$25)))+D366*SUMIFS(Settings!$C$21:$C$25,Settings!$A$21:$A$25,SUMPRODUCT(MAX((Settings!$A$21:$A$25&lt;=$A366)*Settings!$A$21:$A$25))))</f>
      </c>
      <c r="M366" s="32">
        <f>IF($A366="","",L366*IFERROR(INDEX(Settings!$B$30:$B$36,MATCH($B366,Settings!$A$30:$A$36,0)),0))</f>
      </c>
      <c r="N366" s="32">
        <f t="shared" si="26"/>
      </c>
      <c r="O366" s="33">
        <f t="shared" si="27"/>
      </c>
      <c r="P366" s="32">
        <f t="shared" si="28"/>
      </c>
      <c r="Q366" s="33">
        <f t="shared" si="29"/>
      </c>
    </row>
    <row r="367" spans="1:17" x14ac:dyDescent="0.25">
      <c r="A367" s="22"/>
      <c r="B367" s="5"/>
      <c r="C367" s="5"/>
      <c r="D367" s="5"/>
      <c r="E367" s="5"/>
      <c r="F367" s="5"/>
      <c r="G367" s="5"/>
      <c r="H367" s="23"/>
      <c r="I367" s="23"/>
      <c r="J367" s="5"/>
      <c r="K367" s="31">
        <f t="shared" si="25"/>
      </c>
      <c r="L367" s="32">
        <f>IF($A367="","",C367*SUMIFS(Settings!$B$21:$B$25,Settings!$A$21:$A$25,SUMPRODUCT(MAX((Settings!$A$21:$A$25&lt;=$A367)*Settings!$A$21:$A$25)))+D367*SUMIFS(Settings!$C$21:$C$25,Settings!$A$21:$A$25,SUMPRODUCT(MAX((Settings!$A$21:$A$25&lt;=$A367)*Settings!$A$21:$A$25))))</f>
      </c>
      <c r="M367" s="32">
        <f>IF($A367="","",L367*IFERROR(INDEX(Settings!$B$30:$B$36,MATCH($B367,Settings!$A$30:$A$36,0)),0))</f>
      </c>
      <c r="N367" s="32">
        <f t="shared" si="26"/>
      </c>
      <c r="O367" s="33">
        <f t="shared" si="27"/>
      </c>
      <c r="P367" s="32">
        <f t="shared" si="28"/>
      </c>
      <c r="Q367" s="33">
        <f t="shared" si="29"/>
      </c>
    </row>
    <row r="368" spans="1:17" x14ac:dyDescent="0.25">
      <c r="A368" s="22"/>
      <c r="B368" s="5"/>
      <c r="C368" s="5"/>
      <c r="D368" s="5"/>
      <c r="E368" s="5"/>
      <c r="F368" s="5"/>
      <c r="G368" s="5"/>
      <c r="H368" s="23"/>
      <c r="I368" s="23"/>
      <c r="J368" s="5"/>
      <c r="K368" s="31">
        <f t="shared" si="25"/>
      </c>
      <c r="L368" s="32">
        <f>IF($A368="","",C368*SUMIFS(Settings!$B$21:$B$25,Settings!$A$21:$A$25,SUMPRODUCT(MAX((Settings!$A$21:$A$25&lt;=$A368)*Settings!$A$21:$A$25)))+D368*SUMIFS(Settings!$C$21:$C$25,Settings!$A$21:$A$25,SUMPRODUCT(MAX((Settings!$A$21:$A$25&lt;=$A368)*Settings!$A$21:$A$25))))</f>
      </c>
      <c r="M368" s="32">
        <f>IF($A368="","",L368*IFERROR(INDEX(Settings!$B$30:$B$36,MATCH($B368,Settings!$A$30:$A$36,0)),0))</f>
      </c>
      <c r="N368" s="32">
        <f t="shared" si="26"/>
      </c>
      <c r="O368" s="33">
        <f t="shared" si="27"/>
      </c>
      <c r="P368" s="32">
        <f t="shared" si="28"/>
      </c>
      <c r="Q368" s="33">
        <f t="shared" si="29"/>
      </c>
    </row>
    <row r="369" spans="1:17" x14ac:dyDescent="0.25">
      <c r="A369" s="22"/>
      <c r="B369" s="5"/>
      <c r="C369" s="5"/>
      <c r="D369" s="5"/>
      <c r="E369" s="5"/>
      <c r="F369" s="5"/>
      <c r="G369" s="5"/>
      <c r="H369" s="23"/>
      <c r="I369" s="23"/>
      <c r="J369" s="5"/>
      <c r="K369" s="31">
        <f t="shared" si="25"/>
      </c>
      <c r="L369" s="32">
        <f>IF($A369="","",C369*SUMIFS(Settings!$B$21:$B$25,Settings!$A$21:$A$25,SUMPRODUCT(MAX((Settings!$A$21:$A$25&lt;=$A369)*Settings!$A$21:$A$25)))+D369*SUMIFS(Settings!$C$21:$C$25,Settings!$A$21:$A$25,SUMPRODUCT(MAX((Settings!$A$21:$A$25&lt;=$A369)*Settings!$A$21:$A$25))))</f>
      </c>
      <c r="M369" s="32">
        <f>IF($A369="","",L369*IFERROR(INDEX(Settings!$B$30:$B$36,MATCH($B369,Settings!$A$30:$A$36,0)),0))</f>
      </c>
      <c r="N369" s="32">
        <f t="shared" si="26"/>
      </c>
      <c r="O369" s="33">
        <f t="shared" si="27"/>
      </c>
      <c r="P369" s="32">
        <f t="shared" si="28"/>
      </c>
      <c r="Q369" s="33">
        <f t="shared" si="29"/>
      </c>
    </row>
    <row r="370" spans="1:17" x14ac:dyDescent="0.25">
      <c r="A370" s="22"/>
      <c r="B370" s="5"/>
      <c r="C370" s="5"/>
      <c r="D370" s="5"/>
      <c r="E370" s="5"/>
      <c r="F370" s="5"/>
      <c r="G370" s="5"/>
      <c r="H370" s="23"/>
      <c r="I370" s="23"/>
      <c r="J370" s="5"/>
      <c r="K370" s="31">
        <f t="shared" si="25"/>
      </c>
      <c r="L370" s="32">
        <f>IF($A370="","",C370*SUMIFS(Settings!$B$21:$B$25,Settings!$A$21:$A$25,SUMPRODUCT(MAX((Settings!$A$21:$A$25&lt;=$A370)*Settings!$A$21:$A$25)))+D370*SUMIFS(Settings!$C$21:$C$25,Settings!$A$21:$A$25,SUMPRODUCT(MAX((Settings!$A$21:$A$25&lt;=$A370)*Settings!$A$21:$A$25))))</f>
      </c>
      <c r="M370" s="32">
        <f>IF($A370="","",L370*IFERROR(INDEX(Settings!$B$30:$B$36,MATCH($B370,Settings!$A$30:$A$36,0)),0))</f>
      </c>
      <c r="N370" s="32">
        <f t="shared" si="26"/>
      </c>
      <c r="O370" s="33">
        <f t="shared" si="27"/>
      </c>
      <c r="P370" s="32">
        <f t="shared" si="28"/>
      </c>
      <c r="Q370" s="33">
        <f t="shared" si="29"/>
      </c>
    </row>
    <row r="371" spans="1:17" x14ac:dyDescent="0.25">
      <c r="A371" s="22"/>
      <c r="B371" s="5"/>
      <c r="C371" s="5"/>
      <c r="D371" s="5"/>
      <c r="E371" s="5"/>
      <c r="F371" s="5"/>
      <c r="G371" s="5"/>
      <c r="H371" s="23"/>
      <c r="I371" s="23"/>
      <c r="J371" s="5"/>
      <c r="K371" s="31">
        <f t="shared" si="25"/>
      </c>
      <c r="L371" s="32">
        <f>IF($A371="","",C371*SUMIFS(Settings!$B$21:$B$25,Settings!$A$21:$A$25,SUMPRODUCT(MAX((Settings!$A$21:$A$25&lt;=$A371)*Settings!$A$21:$A$25)))+D371*SUMIFS(Settings!$C$21:$C$25,Settings!$A$21:$A$25,SUMPRODUCT(MAX((Settings!$A$21:$A$25&lt;=$A371)*Settings!$A$21:$A$25))))</f>
      </c>
      <c r="M371" s="32">
        <f>IF($A371="","",L371*IFERROR(INDEX(Settings!$B$30:$B$36,MATCH($B371,Settings!$A$30:$A$36,0)),0))</f>
      </c>
      <c r="N371" s="32">
        <f t="shared" si="26"/>
      </c>
      <c r="O371" s="33">
        <f t="shared" si="27"/>
      </c>
      <c r="P371" s="32">
        <f t="shared" si="28"/>
      </c>
      <c r="Q371" s="33">
        <f t="shared" si="29"/>
      </c>
    </row>
    <row r="372" spans="1:17" x14ac:dyDescent="0.25">
      <c r="A372" s="22"/>
      <c r="B372" s="5"/>
      <c r="C372" s="5"/>
      <c r="D372" s="5"/>
      <c r="E372" s="5"/>
      <c r="F372" s="5"/>
      <c r="G372" s="5"/>
      <c r="H372" s="23"/>
      <c r="I372" s="23"/>
      <c r="J372" s="5"/>
      <c r="K372" s="31">
        <f t="shared" si="25"/>
      </c>
      <c r="L372" s="32">
        <f>IF($A372="","",C372*SUMIFS(Settings!$B$21:$B$25,Settings!$A$21:$A$25,SUMPRODUCT(MAX((Settings!$A$21:$A$25&lt;=$A372)*Settings!$A$21:$A$25)))+D372*SUMIFS(Settings!$C$21:$C$25,Settings!$A$21:$A$25,SUMPRODUCT(MAX((Settings!$A$21:$A$25&lt;=$A372)*Settings!$A$21:$A$25))))</f>
      </c>
      <c r="M372" s="32">
        <f>IF($A372="","",L372*IFERROR(INDEX(Settings!$B$30:$B$36,MATCH($B372,Settings!$A$30:$A$36,0)),0))</f>
      </c>
      <c r="N372" s="32">
        <f t="shared" si="26"/>
      </c>
      <c r="O372" s="33">
        <f t="shared" si="27"/>
      </c>
      <c r="P372" s="32">
        <f t="shared" si="28"/>
      </c>
      <c r="Q372" s="33">
        <f t="shared" si="29"/>
      </c>
    </row>
    <row r="373" spans="1:17" x14ac:dyDescent="0.25">
      <c r="A373" s="22"/>
      <c r="B373" s="5"/>
      <c r="C373" s="5"/>
      <c r="D373" s="5"/>
      <c r="E373" s="5"/>
      <c r="F373" s="5"/>
      <c r="G373" s="5"/>
      <c r="H373" s="23"/>
      <c r="I373" s="23"/>
      <c r="J373" s="5"/>
      <c r="K373" s="31">
        <f t="shared" si="25"/>
      </c>
      <c r="L373" s="32">
        <f>IF($A373="","",C373*SUMIFS(Settings!$B$21:$B$25,Settings!$A$21:$A$25,SUMPRODUCT(MAX((Settings!$A$21:$A$25&lt;=$A373)*Settings!$A$21:$A$25)))+D373*SUMIFS(Settings!$C$21:$C$25,Settings!$A$21:$A$25,SUMPRODUCT(MAX((Settings!$A$21:$A$25&lt;=$A373)*Settings!$A$21:$A$25))))</f>
      </c>
      <c r="M373" s="32">
        <f>IF($A373="","",L373*IFERROR(INDEX(Settings!$B$30:$B$36,MATCH($B373,Settings!$A$30:$A$36,0)),0))</f>
      </c>
      <c r="N373" s="32">
        <f t="shared" si="26"/>
      </c>
      <c r="O373" s="33">
        <f t="shared" si="27"/>
      </c>
      <c r="P373" s="32">
        <f t="shared" si="28"/>
      </c>
      <c r="Q373" s="33">
        <f t="shared" si="29"/>
      </c>
    </row>
    <row r="374" spans="1:17" x14ac:dyDescent="0.25">
      <c r="A374" s="22"/>
      <c r="B374" s="5"/>
      <c r="C374" s="5"/>
      <c r="D374" s="5"/>
      <c r="E374" s="5"/>
      <c r="F374" s="5"/>
      <c r="G374" s="5"/>
      <c r="H374" s="23"/>
      <c r="I374" s="23"/>
      <c r="J374" s="5"/>
      <c r="K374" s="31">
        <f t="shared" si="25"/>
      </c>
      <c r="L374" s="32">
        <f>IF($A374="","",C374*SUMIFS(Settings!$B$21:$B$25,Settings!$A$21:$A$25,SUMPRODUCT(MAX((Settings!$A$21:$A$25&lt;=$A374)*Settings!$A$21:$A$25)))+D374*SUMIFS(Settings!$C$21:$C$25,Settings!$A$21:$A$25,SUMPRODUCT(MAX((Settings!$A$21:$A$25&lt;=$A374)*Settings!$A$21:$A$25))))</f>
      </c>
      <c r="M374" s="32">
        <f>IF($A374="","",L374*IFERROR(INDEX(Settings!$B$30:$B$36,MATCH($B374,Settings!$A$30:$A$36,0)),0))</f>
      </c>
      <c r="N374" s="32">
        <f t="shared" si="26"/>
      </c>
      <c r="O374" s="33">
        <f t="shared" si="27"/>
      </c>
      <c r="P374" s="32">
        <f t="shared" si="28"/>
      </c>
      <c r="Q374" s="33">
        <f t="shared" si="29"/>
      </c>
    </row>
    <row r="375" spans="1:17" x14ac:dyDescent="0.25">
      <c r="A375" s="22"/>
      <c r="B375" s="5"/>
      <c r="C375" s="5"/>
      <c r="D375" s="5"/>
      <c r="E375" s="5"/>
      <c r="F375" s="5"/>
      <c r="G375" s="5"/>
      <c r="H375" s="23"/>
      <c r="I375" s="23"/>
      <c r="J375" s="5"/>
      <c r="K375" s="31">
        <f t="shared" si="25"/>
      </c>
      <c r="L375" s="32">
        <f>IF($A375="","",C375*SUMIFS(Settings!$B$21:$B$25,Settings!$A$21:$A$25,SUMPRODUCT(MAX((Settings!$A$21:$A$25&lt;=$A375)*Settings!$A$21:$A$25)))+D375*SUMIFS(Settings!$C$21:$C$25,Settings!$A$21:$A$25,SUMPRODUCT(MAX((Settings!$A$21:$A$25&lt;=$A375)*Settings!$A$21:$A$25))))</f>
      </c>
      <c r="M375" s="32">
        <f>IF($A375="","",L375*IFERROR(INDEX(Settings!$B$30:$B$36,MATCH($B375,Settings!$A$30:$A$36,0)),0))</f>
      </c>
      <c r="N375" s="32">
        <f t="shared" si="26"/>
      </c>
      <c r="O375" s="33">
        <f t="shared" si="27"/>
      </c>
      <c r="P375" s="32">
        <f t="shared" si="28"/>
      </c>
      <c r="Q375" s="33">
        <f t="shared" si="29"/>
      </c>
    </row>
    <row r="376" spans="1:17" x14ac:dyDescent="0.25">
      <c r="A376" s="22"/>
      <c r="B376" s="5"/>
      <c r="C376" s="5"/>
      <c r="D376" s="5"/>
      <c r="E376" s="5"/>
      <c r="F376" s="5"/>
      <c r="G376" s="5"/>
      <c r="H376" s="23"/>
      <c r="I376" s="23"/>
      <c r="J376" s="5"/>
      <c r="K376" s="31">
        <f t="shared" si="25"/>
      </c>
      <c r="L376" s="32">
        <f>IF($A376="","",C376*SUMIFS(Settings!$B$21:$B$25,Settings!$A$21:$A$25,SUMPRODUCT(MAX((Settings!$A$21:$A$25&lt;=$A376)*Settings!$A$21:$A$25)))+D376*SUMIFS(Settings!$C$21:$C$25,Settings!$A$21:$A$25,SUMPRODUCT(MAX((Settings!$A$21:$A$25&lt;=$A376)*Settings!$A$21:$A$25))))</f>
      </c>
      <c r="M376" s="32">
        <f>IF($A376="","",L376*IFERROR(INDEX(Settings!$B$30:$B$36,MATCH($B376,Settings!$A$30:$A$36,0)),0))</f>
      </c>
      <c r="N376" s="32">
        <f t="shared" si="26"/>
      </c>
      <c r="O376" s="33">
        <f t="shared" si="27"/>
      </c>
      <c r="P376" s="32">
        <f t="shared" si="28"/>
      </c>
      <c r="Q376" s="33">
        <f t="shared" si="29"/>
      </c>
    </row>
    <row r="377" spans="1:17" x14ac:dyDescent="0.25">
      <c r="A377" s="22"/>
      <c r="B377" s="5"/>
      <c r="C377" s="5"/>
      <c r="D377" s="5"/>
      <c r="E377" s="5"/>
      <c r="F377" s="5"/>
      <c r="G377" s="5"/>
      <c r="H377" s="23"/>
      <c r="I377" s="23"/>
      <c r="J377" s="5"/>
      <c r="K377" s="31">
        <f t="shared" si="25"/>
      </c>
      <c r="L377" s="32">
        <f>IF($A377="","",C377*SUMIFS(Settings!$B$21:$B$25,Settings!$A$21:$A$25,SUMPRODUCT(MAX((Settings!$A$21:$A$25&lt;=$A377)*Settings!$A$21:$A$25)))+D377*SUMIFS(Settings!$C$21:$C$25,Settings!$A$21:$A$25,SUMPRODUCT(MAX((Settings!$A$21:$A$25&lt;=$A377)*Settings!$A$21:$A$25))))</f>
      </c>
      <c r="M377" s="32">
        <f>IF($A377="","",L377*IFERROR(INDEX(Settings!$B$30:$B$36,MATCH($B377,Settings!$A$30:$A$36,0)),0))</f>
      </c>
      <c r="N377" s="32">
        <f t="shared" si="26"/>
      </c>
      <c r="O377" s="33">
        <f t="shared" si="27"/>
      </c>
      <c r="P377" s="32">
        <f t="shared" si="28"/>
      </c>
      <c r="Q377" s="33">
        <f t="shared" si="29"/>
      </c>
    </row>
    <row r="378" spans="1:17" x14ac:dyDescent="0.25">
      <c r="A378" s="22"/>
      <c r="B378" s="5"/>
      <c r="C378" s="5"/>
      <c r="D378" s="5"/>
      <c r="E378" s="5"/>
      <c r="F378" s="5"/>
      <c r="G378" s="5"/>
      <c r="H378" s="23"/>
      <c r="I378" s="23"/>
      <c r="J378" s="5"/>
      <c r="K378" s="31">
        <f t="shared" si="25"/>
      </c>
      <c r="L378" s="32">
        <f>IF($A378="","",C378*SUMIFS(Settings!$B$21:$B$25,Settings!$A$21:$A$25,SUMPRODUCT(MAX((Settings!$A$21:$A$25&lt;=$A378)*Settings!$A$21:$A$25)))+D378*SUMIFS(Settings!$C$21:$C$25,Settings!$A$21:$A$25,SUMPRODUCT(MAX((Settings!$A$21:$A$25&lt;=$A378)*Settings!$A$21:$A$25))))</f>
      </c>
      <c r="M378" s="32">
        <f>IF($A378="","",L378*IFERROR(INDEX(Settings!$B$30:$B$36,MATCH($B378,Settings!$A$30:$A$36,0)),0))</f>
      </c>
      <c r="N378" s="32">
        <f t="shared" si="26"/>
      </c>
      <c r="O378" s="33">
        <f t="shared" si="27"/>
      </c>
      <c r="P378" s="32">
        <f t="shared" si="28"/>
      </c>
      <c r="Q378" s="33">
        <f t="shared" si="29"/>
      </c>
    </row>
    <row r="379" spans="1:17" x14ac:dyDescent="0.25">
      <c r="A379" s="22"/>
      <c r="B379" s="5"/>
      <c r="C379" s="5"/>
      <c r="D379" s="5"/>
      <c r="E379" s="5"/>
      <c r="F379" s="5"/>
      <c r="G379" s="5"/>
      <c r="H379" s="23"/>
      <c r="I379" s="23"/>
      <c r="J379" s="5"/>
      <c r="K379" s="31">
        <f t="shared" si="25"/>
      </c>
      <c r="L379" s="32">
        <f>IF($A379="","",C379*SUMIFS(Settings!$B$21:$B$25,Settings!$A$21:$A$25,SUMPRODUCT(MAX((Settings!$A$21:$A$25&lt;=$A379)*Settings!$A$21:$A$25)))+D379*SUMIFS(Settings!$C$21:$C$25,Settings!$A$21:$A$25,SUMPRODUCT(MAX((Settings!$A$21:$A$25&lt;=$A379)*Settings!$A$21:$A$25))))</f>
      </c>
      <c r="M379" s="32">
        <f>IF($A379="","",L379*IFERROR(INDEX(Settings!$B$30:$B$36,MATCH($B379,Settings!$A$30:$A$36,0)),0))</f>
      </c>
      <c r="N379" s="32">
        <f t="shared" si="26"/>
      </c>
      <c r="O379" s="33">
        <f t="shared" si="27"/>
      </c>
      <c r="P379" s="32">
        <f t="shared" si="28"/>
      </c>
      <c r="Q379" s="33">
        <f t="shared" si="29"/>
      </c>
    </row>
    <row r="380" spans="1:17" x14ac:dyDescent="0.25">
      <c r="A380" s="22"/>
      <c r="B380" s="5"/>
      <c r="C380" s="5"/>
      <c r="D380" s="5"/>
      <c r="E380" s="5"/>
      <c r="F380" s="5"/>
      <c r="G380" s="5"/>
      <c r="H380" s="23"/>
      <c r="I380" s="23"/>
      <c r="J380" s="5"/>
      <c r="K380" s="31">
        <f t="shared" si="25"/>
      </c>
      <c r="L380" s="32">
        <f>IF($A380="","",C380*SUMIFS(Settings!$B$21:$B$25,Settings!$A$21:$A$25,SUMPRODUCT(MAX((Settings!$A$21:$A$25&lt;=$A380)*Settings!$A$21:$A$25)))+D380*SUMIFS(Settings!$C$21:$C$25,Settings!$A$21:$A$25,SUMPRODUCT(MAX((Settings!$A$21:$A$25&lt;=$A380)*Settings!$A$21:$A$25))))</f>
      </c>
      <c r="M380" s="32">
        <f>IF($A380="","",L380*IFERROR(INDEX(Settings!$B$30:$B$36,MATCH($B380,Settings!$A$30:$A$36,0)),0))</f>
      </c>
      <c r="N380" s="32">
        <f t="shared" si="26"/>
      </c>
      <c r="O380" s="33">
        <f t="shared" si="27"/>
      </c>
      <c r="P380" s="32">
        <f t="shared" si="28"/>
      </c>
      <c r="Q380" s="33">
        <f t="shared" si="29"/>
      </c>
    </row>
    <row r="381" spans="1:17" x14ac:dyDescent="0.25">
      <c r="A381" s="22"/>
      <c r="B381" s="5"/>
      <c r="C381" s="5"/>
      <c r="D381" s="5"/>
      <c r="E381" s="5"/>
      <c r="F381" s="5"/>
      <c r="G381" s="5"/>
      <c r="H381" s="23"/>
      <c r="I381" s="23"/>
      <c r="J381" s="5"/>
      <c r="K381" s="31">
        <f t="shared" si="25"/>
      </c>
      <c r="L381" s="32">
        <f>IF($A381="","",C381*SUMIFS(Settings!$B$21:$B$25,Settings!$A$21:$A$25,SUMPRODUCT(MAX((Settings!$A$21:$A$25&lt;=$A381)*Settings!$A$21:$A$25)))+D381*SUMIFS(Settings!$C$21:$C$25,Settings!$A$21:$A$25,SUMPRODUCT(MAX((Settings!$A$21:$A$25&lt;=$A381)*Settings!$A$21:$A$25))))</f>
      </c>
      <c r="M381" s="32">
        <f>IF($A381="","",L381*IFERROR(INDEX(Settings!$B$30:$B$36,MATCH($B381,Settings!$A$30:$A$36,0)),0))</f>
      </c>
      <c r="N381" s="32">
        <f t="shared" si="26"/>
      </c>
      <c r="O381" s="33">
        <f t="shared" si="27"/>
      </c>
      <c r="P381" s="32">
        <f t="shared" si="28"/>
      </c>
      <c r="Q381" s="33">
        <f t="shared" si="29"/>
      </c>
    </row>
    <row r="382" spans="1:17" x14ac:dyDescent="0.25">
      <c r="A382" s="22"/>
      <c r="B382" s="5"/>
      <c r="C382" s="5"/>
      <c r="D382" s="5"/>
      <c r="E382" s="5"/>
      <c r="F382" s="5"/>
      <c r="G382" s="5"/>
      <c r="H382" s="23"/>
      <c r="I382" s="23"/>
      <c r="J382" s="5"/>
      <c r="K382" s="31">
        <f t="shared" si="25"/>
      </c>
      <c r="L382" s="32">
        <f>IF($A382="","",C382*SUMIFS(Settings!$B$21:$B$25,Settings!$A$21:$A$25,SUMPRODUCT(MAX((Settings!$A$21:$A$25&lt;=$A382)*Settings!$A$21:$A$25)))+D382*SUMIFS(Settings!$C$21:$C$25,Settings!$A$21:$A$25,SUMPRODUCT(MAX((Settings!$A$21:$A$25&lt;=$A382)*Settings!$A$21:$A$25))))</f>
      </c>
      <c r="M382" s="32">
        <f>IF($A382="","",L382*IFERROR(INDEX(Settings!$B$30:$B$36,MATCH($B382,Settings!$A$30:$A$36,0)),0))</f>
      </c>
      <c r="N382" s="32">
        <f t="shared" si="26"/>
      </c>
      <c r="O382" s="33">
        <f t="shared" si="27"/>
      </c>
      <c r="P382" s="32">
        <f t="shared" si="28"/>
      </c>
      <c r="Q382" s="33">
        <f t="shared" si="29"/>
      </c>
    </row>
    <row r="383" spans="1:17" x14ac:dyDescent="0.25">
      <c r="A383" s="22"/>
      <c r="B383" s="5"/>
      <c r="C383" s="5"/>
      <c r="D383" s="5"/>
      <c r="E383" s="5"/>
      <c r="F383" s="5"/>
      <c r="G383" s="5"/>
      <c r="H383" s="23"/>
      <c r="I383" s="23"/>
      <c r="J383" s="5"/>
      <c r="K383" s="31">
        <f t="shared" si="25"/>
      </c>
      <c r="L383" s="32">
        <f>IF($A383="","",C383*SUMIFS(Settings!$B$21:$B$25,Settings!$A$21:$A$25,SUMPRODUCT(MAX((Settings!$A$21:$A$25&lt;=$A383)*Settings!$A$21:$A$25)))+D383*SUMIFS(Settings!$C$21:$C$25,Settings!$A$21:$A$25,SUMPRODUCT(MAX((Settings!$A$21:$A$25&lt;=$A383)*Settings!$A$21:$A$25))))</f>
      </c>
      <c r="M383" s="32">
        <f>IF($A383="","",L383*IFERROR(INDEX(Settings!$B$30:$B$36,MATCH($B383,Settings!$A$30:$A$36,0)),0))</f>
      </c>
      <c r="N383" s="32">
        <f t="shared" si="26"/>
      </c>
      <c r="O383" s="33">
        <f t="shared" si="27"/>
      </c>
      <c r="P383" s="32">
        <f t="shared" si="28"/>
      </c>
      <c r="Q383" s="33">
        <f t="shared" si="29"/>
      </c>
    </row>
    <row r="384" spans="1:17" x14ac:dyDescent="0.25">
      <c r="A384" s="22"/>
      <c r="B384" s="5"/>
      <c r="C384" s="5"/>
      <c r="D384" s="5"/>
      <c r="E384" s="5"/>
      <c r="F384" s="5"/>
      <c r="G384" s="5"/>
      <c r="H384" s="23"/>
      <c r="I384" s="23"/>
      <c r="J384" s="5"/>
      <c r="K384" s="31">
        <f t="shared" si="25"/>
      </c>
      <c r="L384" s="32">
        <f>IF($A384="","",C384*SUMIFS(Settings!$B$21:$B$25,Settings!$A$21:$A$25,SUMPRODUCT(MAX((Settings!$A$21:$A$25&lt;=$A384)*Settings!$A$21:$A$25)))+D384*SUMIFS(Settings!$C$21:$C$25,Settings!$A$21:$A$25,SUMPRODUCT(MAX((Settings!$A$21:$A$25&lt;=$A384)*Settings!$A$21:$A$25))))</f>
      </c>
      <c r="M384" s="32">
        <f>IF($A384="","",L384*IFERROR(INDEX(Settings!$B$30:$B$36,MATCH($B384,Settings!$A$30:$A$36,0)),0))</f>
      </c>
      <c r="N384" s="32">
        <f t="shared" si="26"/>
      </c>
      <c r="O384" s="33">
        <f t="shared" si="27"/>
      </c>
      <c r="P384" s="32">
        <f t="shared" si="28"/>
      </c>
      <c r="Q384" s="33">
        <f t="shared" si="29"/>
      </c>
    </row>
    <row r="385" spans="1:17" x14ac:dyDescent="0.25">
      <c r="A385" s="22"/>
      <c r="B385" s="5"/>
      <c r="C385" s="5"/>
      <c r="D385" s="5"/>
      <c r="E385" s="5"/>
      <c r="F385" s="5"/>
      <c r="G385" s="5"/>
      <c r="H385" s="23"/>
      <c r="I385" s="23"/>
      <c r="J385" s="5"/>
      <c r="K385" s="31">
        <f t="shared" si="25"/>
      </c>
      <c r="L385" s="32">
        <f>IF($A385="","",C385*SUMIFS(Settings!$B$21:$B$25,Settings!$A$21:$A$25,SUMPRODUCT(MAX((Settings!$A$21:$A$25&lt;=$A385)*Settings!$A$21:$A$25)))+D385*SUMIFS(Settings!$C$21:$C$25,Settings!$A$21:$A$25,SUMPRODUCT(MAX((Settings!$A$21:$A$25&lt;=$A385)*Settings!$A$21:$A$25))))</f>
      </c>
      <c r="M385" s="32">
        <f>IF($A385="","",L385*IFERROR(INDEX(Settings!$B$30:$B$36,MATCH($B385,Settings!$A$30:$A$36,0)),0))</f>
      </c>
      <c r="N385" s="32">
        <f t="shared" si="26"/>
      </c>
      <c r="O385" s="33">
        <f t="shared" si="27"/>
      </c>
      <c r="P385" s="32">
        <f t="shared" si="28"/>
      </c>
      <c r="Q385" s="33">
        <f t="shared" si="29"/>
      </c>
    </row>
    <row r="386" spans="1:17" x14ac:dyDescent="0.25">
      <c r="A386" s="22"/>
      <c r="B386" s="5"/>
      <c r="C386" s="5"/>
      <c r="D386" s="5"/>
      <c r="E386" s="5"/>
      <c r="F386" s="5"/>
      <c r="G386" s="5"/>
      <c r="H386" s="23"/>
      <c r="I386" s="23"/>
      <c r="J386" s="5"/>
      <c r="K386" s="31">
        <f t="shared" si="25"/>
      </c>
      <c r="L386" s="32">
        <f>IF($A386="","",C386*SUMIFS(Settings!$B$21:$B$25,Settings!$A$21:$A$25,SUMPRODUCT(MAX((Settings!$A$21:$A$25&lt;=$A386)*Settings!$A$21:$A$25)))+D386*SUMIFS(Settings!$C$21:$C$25,Settings!$A$21:$A$25,SUMPRODUCT(MAX((Settings!$A$21:$A$25&lt;=$A386)*Settings!$A$21:$A$25))))</f>
      </c>
      <c r="M386" s="32">
        <f>IF($A386="","",L386*IFERROR(INDEX(Settings!$B$30:$B$36,MATCH($B386,Settings!$A$30:$A$36,0)),0))</f>
      </c>
      <c r="N386" s="32">
        <f t="shared" si="26"/>
      </c>
      <c r="O386" s="33">
        <f t="shared" si="27"/>
      </c>
      <c r="P386" s="32">
        <f t="shared" si="28"/>
      </c>
      <c r="Q386" s="33">
        <f t="shared" si="29"/>
      </c>
    </row>
    <row r="387" spans="1:17" x14ac:dyDescent="0.25">
      <c r="A387" s="22"/>
      <c r="B387" s="5"/>
      <c r="C387" s="5"/>
      <c r="D387" s="5"/>
      <c r="E387" s="5"/>
      <c r="F387" s="5"/>
      <c r="G387" s="5"/>
      <c r="H387" s="23"/>
      <c r="I387" s="23"/>
      <c r="J387" s="5"/>
      <c r="K387" s="31">
        <f t="shared" si="25"/>
      </c>
      <c r="L387" s="32">
        <f>IF($A387="","",C387*SUMIFS(Settings!$B$21:$B$25,Settings!$A$21:$A$25,SUMPRODUCT(MAX((Settings!$A$21:$A$25&lt;=$A387)*Settings!$A$21:$A$25)))+D387*SUMIFS(Settings!$C$21:$C$25,Settings!$A$21:$A$25,SUMPRODUCT(MAX((Settings!$A$21:$A$25&lt;=$A387)*Settings!$A$21:$A$25))))</f>
      </c>
      <c r="M387" s="32">
        <f>IF($A387="","",L387*IFERROR(INDEX(Settings!$B$30:$B$36,MATCH($B387,Settings!$A$30:$A$36,0)),0))</f>
      </c>
      <c r="N387" s="32">
        <f t="shared" si="26"/>
      </c>
      <c r="O387" s="33">
        <f t="shared" si="27"/>
      </c>
      <c r="P387" s="32">
        <f t="shared" si="28"/>
      </c>
      <c r="Q387" s="33">
        <f t="shared" si="29"/>
      </c>
    </row>
    <row r="388" spans="1:17" x14ac:dyDescent="0.25">
      <c r="A388" s="22"/>
      <c r="B388" s="5"/>
      <c r="C388" s="5"/>
      <c r="D388" s="5"/>
      <c r="E388" s="5"/>
      <c r="F388" s="5"/>
      <c r="G388" s="5"/>
      <c r="H388" s="23"/>
      <c r="I388" s="23"/>
      <c r="J388" s="5"/>
      <c r="K388" s="31">
        <f t="shared" si="25"/>
      </c>
      <c r="L388" s="32">
        <f>IF($A388="","",C388*SUMIFS(Settings!$B$21:$B$25,Settings!$A$21:$A$25,SUMPRODUCT(MAX((Settings!$A$21:$A$25&lt;=$A388)*Settings!$A$21:$A$25)))+D388*SUMIFS(Settings!$C$21:$C$25,Settings!$A$21:$A$25,SUMPRODUCT(MAX((Settings!$A$21:$A$25&lt;=$A388)*Settings!$A$21:$A$25))))</f>
      </c>
      <c r="M388" s="32">
        <f>IF($A388="","",L388*IFERROR(INDEX(Settings!$B$30:$B$36,MATCH($B388,Settings!$A$30:$A$36,0)),0))</f>
      </c>
      <c r="N388" s="32">
        <f t="shared" si="26"/>
      </c>
      <c r="O388" s="33">
        <f t="shared" si="27"/>
      </c>
      <c r="P388" s="32">
        <f t="shared" si="28"/>
      </c>
      <c r="Q388" s="33">
        <f t="shared" si="29"/>
      </c>
    </row>
    <row r="389" spans="1:17" x14ac:dyDescent="0.25">
      <c r="A389" s="22"/>
      <c r="B389" s="5"/>
      <c r="C389" s="5"/>
      <c r="D389" s="5"/>
      <c r="E389" s="5"/>
      <c r="F389" s="5"/>
      <c r="G389" s="5"/>
      <c r="H389" s="23"/>
      <c r="I389" s="23"/>
      <c r="J389" s="5"/>
      <c r="K389" s="31">
        <f t="shared" si="25"/>
      </c>
      <c r="L389" s="32">
        <f>IF($A389="","",C389*SUMIFS(Settings!$B$21:$B$25,Settings!$A$21:$A$25,SUMPRODUCT(MAX((Settings!$A$21:$A$25&lt;=$A389)*Settings!$A$21:$A$25)))+D389*SUMIFS(Settings!$C$21:$C$25,Settings!$A$21:$A$25,SUMPRODUCT(MAX((Settings!$A$21:$A$25&lt;=$A389)*Settings!$A$21:$A$25))))</f>
      </c>
      <c r="M389" s="32">
        <f>IF($A389="","",L389*IFERROR(INDEX(Settings!$B$30:$B$36,MATCH($B389,Settings!$A$30:$A$36,0)),0))</f>
      </c>
      <c r="N389" s="32">
        <f t="shared" si="26"/>
      </c>
      <c r="O389" s="33">
        <f t="shared" si="27"/>
      </c>
      <c r="P389" s="32">
        <f t="shared" si="28"/>
      </c>
      <c r="Q389" s="33">
        <f t="shared" si="29"/>
      </c>
    </row>
    <row r="390" spans="1:17" x14ac:dyDescent="0.25">
      <c r="A390" s="22"/>
      <c r="B390" s="5"/>
      <c r="C390" s="5"/>
      <c r="D390" s="5"/>
      <c r="E390" s="5"/>
      <c r="F390" s="5"/>
      <c r="G390" s="5"/>
      <c r="H390" s="23"/>
      <c r="I390" s="23"/>
      <c r="J390" s="5"/>
      <c r="K390" s="31">
        <f t="shared" ref="K390:K453" si="30">IF($A390="","",C390+D390)</f>
      </c>
      <c r="L390" s="32">
        <f>IF($A390="","",C390*SUMIFS(Settings!$B$21:$B$25,Settings!$A$21:$A$25,SUMPRODUCT(MAX((Settings!$A$21:$A$25&lt;=$A390)*Settings!$A$21:$A$25)))+D390*SUMIFS(Settings!$C$21:$C$25,Settings!$A$21:$A$25,SUMPRODUCT(MAX((Settings!$A$21:$A$25&lt;=$A390)*Settings!$A$21:$A$25))))</f>
      </c>
      <c r="M390" s="32">
        <f>IF($A390="","",L390*IFERROR(INDEX(Settings!$B$30:$B$36,MATCH($B390,Settings!$A$30:$A$36,0)),0))</f>
      </c>
      <c r="N390" s="32">
        <f t="shared" ref="N390:N453" si="31">IF(OR($A390="",F390="",G390=""),"",(F390-G390)-(K390+E390))</f>
      </c>
      <c r="O390" s="33">
        <f t="shared" ref="O390:O453" si="32">IF(N390="","",IF(N390=0,"OK","CHECK"))</f>
      </c>
      <c r="P390" s="32">
        <f t="shared" ref="P390:P453" si="33">IF(OR($A390="",AND(H390="",I390="")),"",H390+I390-L390)</f>
      </c>
      <c r="Q390" s="33">
        <f t="shared" ref="Q390:Q453" si="34">IF(P390="","",IF(P390=0,"OK","CHECK"))</f>
      </c>
    </row>
    <row r="391" spans="1:17" x14ac:dyDescent="0.25">
      <c r="A391" s="22"/>
      <c r="B391" s="5"/>
      <c r="C391" s="5"/>
      <c r="D391" s="5"/>
      <c r="E391" s="5"/>
      <c r="F391" s="5"/>
      <c r="G391" s="5"/>
      <c r="H391" s="23"/>
      <c r="I391" s="23"/>
      <c r="J391" s="5"/>
      <c r="K391" s="31">
        <f t="shared" si="30"/>
      </c>
      <c r="L391" s="32">
        <f>IF($A391="","",C391*SUMIFS(Settings!$B$21:$B$25,Settings!$A$21:$A$25,SUMPRODUCT(MAX((Settings!$A$21:$A$25&lt;=$A391)*Settings!$A$21:$A$25)))+D391*SUMIFS(Settings!$C$21:$C$25,Settings!$A$21:$A$25,SUMPRODUCT(MAX((Settings!$A$21:$A$25&lt;=$A391)*Settings!$A$21:$A$25))))</f>
      </c>
      <c r="M391" s="32">
        <f>IF($A391="","",L391*IFERROR(INDEX(Settings!$B$30:$B$36,MATCH($B391,Settings!$A$30:$A$36,0)),0))</f>
      </c>
      <c r="N391" s="32">
        <f t="shared" si="31"/>
      </c>
      <c r="O391" s="33">
        <f t="shared" si="32"/>
      </c>
      <c r="P391" s="32">
        <f t="shared" si="33"/>
      </c>
      <c r="Q391" s="33">
        <f t="shared" si="34"/>
      </c>
    </row>
    <row r="392" spans="1:17" x14ac:dyDescent="0.25">
      <c r="A392" s="22"/>
      <c r="B392" s="5"/>
      <c r="C392" s="5"/>
      <c r="D392" s="5"/>
      <c r="E392" s="5"/>
      <c r="F392" s="5"/>
      <c r="G392" s="5"/>
      <c r="H392" s="23"/>
      <c r="I392" s="23"/>
      <c r="J392" s="5"/>
      <c r="K392" s="31">
        <f t="shared" si="30"/>
      </c>
      <c r="L392" s="32">
        <f>IF($A392="","",C392*SUMIFS(Settings!$B$21:$B$25,Settings!$A$21:$A$25,SUMPRODUCT(MAX((Settings!$A$21:$A$25&lt;=$A392)*Settings!$A$21:$A$25)))+D392*SUMIFS(Settings!$C$21:$C$25,Settings!$A$21:$A$25,SUMPRODUCT(MAX((Settings!$A$21:$A$25&lt;=$A392)*Settings!$A$21:$A$25))))</f>
      </c>
      <c r="M392" s="32">
        <f>IF($A392="","",L392*IFERROR(INDEX(Settings!$B$30:$B$36,MATCH($B392,Settings!$A$30:$A$36,0)),0))</f>
      </c>
      <c r="N392" s="32">
        <f t="shared" si="31"/>
      </c>
      <c r="O392" s="33">
        <f t="shared" si="32"/>
      </c>
      <c r="P392" s="32">
        <f t="shared" si="33"/>
      </c>
      <c r="Q392" s="33">
        <f t="shared" si="34"/>
      </c>
    </row>
    <row r="393" spans="1:17" x14ac:dyDescent="0.25">
      <c r="A393" s="22"/>
      <c r="B393" s="5"/>
      <c r="C393" s="5"/>
      <c r="D393" s="5"/>
      <c r="E393" s="5"/>
      <c r="F393" s="5"/>
      <c r="G393" s="5"/>
      <c r="H393" s="23"/>
      <c r="I393" s="23"/>
      <c r="J393" s="5"/>
      <c r="K393" s="31">
        <f t="shared" si="30"/>
      </c>
      <c r="L393" s="32">
        <f>IF($A393="","",C393*SUMIFS(Settings!$B$21:$B$25,Settings!$A$21:$A$25,SUMPRODUCT(MAX((Settings!$A$21:$A$25&lt;=$A393)*Settings!$A$21:$A$25)))+D393*SUMIFS(Settings!$C$21:$C$25,Settings!$A$21:$A$25,SUMPRODUCT(MAX((Settings!$A$21:$A$25&lt;=$A393)*Settings!$A$21:$A$25))))</f>
      </c>
      <c r="M393" s="32">
        <f>IF($A393="","",L393*IFERROR(INDEX(Settings!$B$30:$B$36,MATCH($B393,Settings!$A$30:$A$36,0)),0))</f>
      </c>
      <c r="N393" s="32">
        <f t="shared" si="31"/>
      </c>
      <c r="O393" s="33">
        <f t="shared" si="32"/>
      </c>
      <c r="P393" s="32">
        <f t="shared" si="33"/>
      </c>
      <c r="Q393" s="33">
        <f t="shared" si="34"/>
      </c>
    </row>
    <row r="394" spans="1:17" x14ac:dyDescent="0.25">
      <c r="A394" s="22"/>
      <c r="B394" s="5"/>
      <c r="C394" s="5"/>
      <c r="D394" s="5"/>
      <c r="E394" s="5"/>
      <c r="F394" s="5"/>
      <c r="G394" s="5"/>
      <c r="H394" s="23"/>
      <c r="I394" s="23"/>
      <c r="J394" s="5"/>
      <c r="K394" s="31">
        <f t="shared" si="30"/>
      </c>
      <c r="L394" s="32">
        <f>IF($A394="","",C394*SUMIFS(Settings!$B$21:$B$25,Settings!$A$21:$A$25,SUMPRODUCT(MAX((Settings!$A$21:$A$25&lt;=$A394)*Settings!$A$21:$A$25)))+D394*SUMIFS(Settings!$C$21:$C$25,Settings!$A$21:$A$25,SUMPRODUCT(MAX((Settings!$A$21:$A$25&lt;=$A394)*Settings!$A$21:$A$25))))</f>
      </c>
      <c r="M394" s="32">
        <f>IF($A394="","",L394*IFERROR(INDEX(Settings!$B$30:$B$36,MATCH($B394,Settings!$A$30:$A$36,0)),0))</f>
      </c>
      <c r="N394" s="32">
        <f t="shared" si="31"/>
      </c>
      <c r="O394" s="33">
        <f t="shared" si="32"/>
      </c>
      <c r="P394" s="32">
        <f t="shared" si="33"/>
      </c>
      <c r="Q394" s="33">
        <f t="shared" si="34"/>
      </c>
    </row>
    <row r="395" spans="1:17" x14ac:dyDescent="0.25">
      <c r="A395" s="22"/>
      <c r="B395" s="5"/>
      <c r="C395" s="5"/>
      <c r="D395" s="5"/>
      <c r="E395" s="5"/>
      <c r="F395" s="5"/>
      <c r="G395" s="5"/>
      <c r="H395" s="23"/>
      <c r="I395" s="23"/>
      <c r="J395" s="5"/>
      <c r="K395" s="31">
        <f t="shared" si="30"/>
      </c>
      <c r="L395" s="32">
        <f>IF($A395="","",C395*SUMIFS(Settings!$B$21:$B$25,Settings!$A$21:$A$25,SUMPRODUCT(MAX((Settings!$A$21:$A$25&lt;=$A395)*Settings!$A$21:$A$25)))+D395*SUMIFS(Settings!$C$21:$C$25,Settings!$A$21:$A$25,SUMPRODUCT(MAX((Settings!$A$21:$A$25&lt;=$A395)*Settings!$A$21:$A$25))))</f>
      </c>
      <c r="M395" s="32">
        <f>IF($A395="","",L395*IFERROR(INDEX(Settings!$B$30:$B$36,MATCH($B395,Settings!$A$30:$A$36,0)),0))</f>
      </c>
      <c r="N395" s="32">
        <f t="shared" si="31"/>
      </c>
      <c r="O395" s="33">
        <f t="shared" si="32"/>
      </c>
      <c r="P395" s="32">
        <f t="shared" si="33"/>
      </c>
      <c r="Q395" s="33">
        <f t="shared" si="34"/>
      </c>
    </row>
    <row r="396" spans="1:17" x14ac:dyDescent="0.25">
      <c r="A396" s="22"/>
      <c r="B396" s="5"/>
      <c r="C396" s="5"/>
      <c r="D396" s="5"/>
      <c r="E396" s="5"/>
      <c r="F396" s="5"/>
      <c r="G396" s="5"/>
      <c r="H396" s="23"/>
      <c r="I396" s="23"/>
      <c r="J396" s="5"/>
      <c r="K396" s="31">
        <f t="shared" si="30"/>
      </c>
      <c r="L396" s="32">
        <f>IF($A396="","",C396*SUMIFS(Settings!$B$21:$B$25,Settings!$A$21:$A$25,SUMPRODUCT(MAX((Settings!$A$21:$A$25&lt;=$A396)*Settings!$A$21:$A$25)))+D396*SUMIFS(Settings!$C$21:$C$25,Settings!$A$21:$A$25,SUMPRODUCT(MAX((Settings!$A$21:$A$25&lt;=$A396)*Settings!$A$21:$A$25))))</f>
      </c>
      <c r="M396" s="32">
        <f>IF($A396="","",L396*IFERROR(INDEX(Settings!$B$30:$B$36,MATCH($B396,Settings!$A$30:$A$36,0)),0))</f>
      </c>
      <c r="N396" s="32">
        <f t="shared" si="31"/>
      </c>
      <c r="O396" s="33">
        <f t="shared" si="32"/>
      </c>
      <c r="P396" s="32">
        <f t="shared" si="33"/>
      </c>
      <c r="Q396" s="33">
        <f t="shared" si="34"/>
      </c>
    </row>
    <row r="397" spans="1:17" x14ac:dyDescent="0.25">
      <c r="A397" s="22"/>
      <c r="B397" s="5"/>
      <c r="C397" s="5"/>
      <c r="D397" s="5"/>
      <c r="E397" s="5"/>
      <c r="F397" s="5"/>
      <c r="G397" s="5"/>
      <c r="H397" s="23"/>
      <c r="I397" s="23"/>
      <c r="J397" s="5"/>
      <c r="K397" s="31">
        <f t="shared" si="30"/>
      </c>
      <c r="L397" s="32">
        <f>IF($A397="","",C397*SUMIFS(Settings!$B$21:$B$25,Settings!$A$21:$A$25,SUMPRODUCT(MAX((Settings!$A$21:$A$25&lt;=$A397)*Settings!$A$21:$A$25)))+D397*SUMIFS(Settings!$C$21:$C$25,Settings!$A$21:$A$25,SUMPRODUCT(MAX((Settings!$A$21:$A$25&lt;=$A397)*Settings!$A$21:$A$25))))</f>
      </c>
      <c r="M397" s="32">
        <f>IF($A397="","",L397*IFERROR(INDEX(Settings!$B$30:$B$36,MATCH($B397,Settings!$A$30:$A$36,0)),0))</f>
      </c>
      <c r="N397" s="32">
        <f t="shared" si="31"/>
      </c>
      <c r="O397" s="33">
        <f t="shared" si="32"/>
      </c>
      <c r="P397" s="32">
        <f t="shared" si="33"/>
      </c>
      <c r="Q397" s="33">
        <f t="shared" si="34"/>
      </c>
    </row>
    <row r="398" spans="1:17" x14ac:dyDescent="0.25">
      <c r="A398" s="22"/>
      <c r="B398" s="5"/>
      <c r="C398" s="5"/>
      <c r="D398" s="5"/>
      <c r="E398" s="5"/>
      <c r="F398" s="5"/>
      <c r="G398" s="5"/>
      <c r="H398" s="23"/>
      <c r="I398" s="23"/>
      <c r="J398" s="5"/>
      <c r="K398" s="31">
        <f t="shared" si="30"/>
      </c>
      <c r="L398" s="32">
        <f>IF($A398="","",C398*SUMIFS(Settings!$B$21:$B$25,Settings!$A$21:$A$25,SUMPRODUCT(MAX((Settings!$A$21:$A$25&lt;=$A398)*Settings!$A$21:$A$25)))+D398*SUMIFS(Settings!$C$21:$C$25,Settings!$A$21:$A$25,SUMPRODUCT(MAX((Settings!$A$21:$A$25&lt;=$A398)*Settings!$A$21:$A$25))))</f>
      </c>
      <c r="M398" s="32">
        <f>IF($A398="","",L398*IFERROR(INDEX(Settings!$B$30:$B$36,MATCH($B398,Settings!$A$30:$A$36,0)),0))</f>
      </c>
      <c r="N398" s="32">
        <f t="shared" si="31"/>
      </c>
      <c r="O398" s="33">
        <f t="shared" si="32"/>
      </c>
      <c r="P398" s="32">
        <f t="shared" si="33"/>
      </c>
      <c r="Q398" s="33">
        <f t="shared" si="34"/>
      </c>
    </row>
    <row r="399" spans="1:17" x14ac:dyDescent="0.25">
      <c r="A399" s="22"/>
      <c r="B399" s="5"/>
      <c r="C399" s="5"/>
      <c r="D399" s="5"/>
      <c r="E399" s="5"/>
      <c r="F399" s="5"/>
      <c r="G399" s="5"/>
      <c r="H399" s="23"/>
      <c r="I399" s="23"/>
      <c r="J399" s="5"/>
      <c r="K399" s="31">
        <f t="shared" si="30"/>
      </c>
      <c r="L399" s="32">
        <f>IF($A399="","",C399*SUMIFS(Settings!$B$21:$B$25,Settings!$A$21:$A$25,SUMPRODUCT(MAX((Settings!$A$21:$A$25&lt;=$A399)*Settings!$A$21:$A$25)))+D399*SUMIFS(Settings!$C$21:$C$25,Settings!$A$21:$A$25,SUMPRODUCT(MAX((Settings!$A$21:$A$25&lt;=$A399)*Settings!$A$21:$A$25))))</f>
      </c>
      <c r="M399" s="32">
        <f>IF($A399="","",L399*IFERROR(INDEX(Settings!$B$30:$B$36,MATCH($B399,Settings!$A$30:$A$36,0)),0))</f>
      </c>
      <c r="N399" s="32">
        <f t="shared" si="31"/>
      </c>
      <c r="O399" s="33">
        <f t="shared" si="32"/>
      </c>
      <c r="P399" s="32">
        <f t="shared" si="33"/>
      </c>
      <c r="Q399" s="33">
        <f t="shared" si="34"/>
      </c>
    </row>
    <row r="400" spans="1:17" x14ac:dyDescent="0.25">
      <c r="A400" s="22"/>
      <c r="B400" s="5"/>
      <c r="C400" s="5"/>
      <c r="D400" s="5"/>
      <c r="E400" s="5"/>
      <c r="F400" s="5"/>
      <c r="G400" s="5"/>
      <c r="H400" s="23"/>
      <c r="I400" s="23"/>
      <c r="J400" s="5"/>
      <c r="K400" s="31">
        <f t="shared" si="30"/>
      </c>
      <c r="L400" s="32">
        <f>IF($A400="","",C400*SUMIFS(Settings!$B$21:$B$25,Settings!$A$21:$A$25,SUMPRODUCT(MAX((Settings!$A$21:$A$25&lt;=$A400)*Settings!$A$21:$A$25)))+D400*SUMIFS(Settings!$C$21:$C$25,Settings!$A$21:$A$25,SUMPRODUCT(MAX((Settings!$A$21:$A$25&lt;=$A400)*Settings!$A$21:$A$25))))</f>
      </c>
      <c r="M400" s="32">
        <f>IF($A400="","",L400*IFERROR(INDEX(Settings!$B$30:$B$36,MATCH($B400,Settings!$A$30:$A$36,0)),0))</f>
      </c>
      <c r="N400" s="32">
        <f t="shared" si="31"/>
      </c>
      <c r="O400" s="33">
        <f t="shared" si="32"/>
      </c>
      <c r="P400" s="32">
        <f t="shared" si="33"/>
      </c>
      <c r="Q400" s="33">
        <f t="shared" si="34"/>
      </c>
    </row>
    <row r="401" spans="1:17" x14ac:dyDescent="0.25">
      <c r="A401" s="22"/>
      <c r="B401" s="5"/>
      <c r="C401" s="5"/>
      <c r="D401" s="5"/>
      <c r="E401" s="5"/>
      <c r="F401" s="5"/>
      <c r="G401" s="5"/>
      <c r="H401" s="23"/>
      <c r="I401" s="23"/>
      <c r="J401" s="5"/>
      <c r="K401" s="31">
        <f t="shared" si="30"/>
      </c>
      <c r="L401" s="32">
        <f>IF($A401="","",C401*SUMIFS(Settings!$B$21:$B$25,Settings!$A$21:$A$25,SUMPRODUCT(MAX((Settings!$A$21:$A$25&lt;=$A401)*Settings!$A$21:$A$25)))+D401*SUMIFS(Settings!$C$21:$C$25,Settings!$A$21:$A$25,SUMPRODUCT(MAX((Settings!$A$21:$A$25&lt;=$A401)*Settings!$A$21:$A$25))))</f>
      </c>
      <c r="M401" s="32">
        <f>IF($A401="","",L401*IFERROR(INDEX(Settings!$B$30:$B$36,MATCH($B401,Settings!$A$30:$A$36,0)),0))</f>
      </c>
      <c r="N401" s="32">
        <f t="shared" si="31"/>
      </c>
      <c r="O401" s="33">
        <f t="shared" si="32"/>
      </c>
      <c r="P401" s="32">
        <f t="shared" si="33"/>
      </c>
      <c r="Q401" s="33">
        <f t="shared" si="34"/>
      </c>
    </row>
    <row r="402" spans="1:17" x14ac:dyDescent="0.25">
      <c r="A402" s="22"/>
      <c r="B402" s="5"/>
      <c r="C402" s="5"/>
      <c r="D402" s="5"/>
      <c r="E402" s="5"/>
      <c r="F402" s="5"/>
      <c r="G402" s="5"/>
      <c r="H402" s="23"/>
      <c r="I402" s="23"/>
      <c r="J402" s="5"/>
      <c r="K402" s="31">
        <f t="shared" si="30"/>
      </c>
      <c r="L402" s="32">
        <f>IF($A402="","",C402*SUMIFS(Settings!$B$21:$B$25,Settings!$A$21:$A$25,SUMPRODUCT(MAX((Settings!$A$21:$A$25&lt;=$A402)*Settings!$A$21:$A$25)))+D402*SUMIFS(Settings!$C$21:$C$25,Settings!$A$21:$A$25,SUMPRODUCT(MAX((Settings!$A$21:$A$25&lt;=$A402)*Settings!$A$21:$A$25))))</f>
      </c>
      <c r="M402" s="32">
        <f>IF($A402="","",L402*IFERROR(INDEX(Settings!$B$30:$B$36,MATCH($B402,Settings!$A$30:$A$36,0)),0))</f>
      </c>
      <c r="N402" s="32">
        <f t="shared" si="31"/>
      </c>
      <c r="O402" s="33">
        <f t="shared" si="32"/>
      </c>
      <c r="P402" s="32">
        <f t="shared" si="33"/>
      </c>
      <c r="Q402" s="33">
        <f t="shared" si="34"/>
      </c>
    </row>
    <row r="403" spans="1:17" x14ac:dyDescent="0.25">
      <c r="A403" s="22"/>
      <c r="B403" s="5"/>
      <c r="C403" s="5"/>
      <c r="D403" s="5"/>
      <c r="E403" s="5"/>
      <c r="F403" s="5"/>
      <c r="G403" s="5"/>
      <c r="H403" s="23"/>
      <c r="I403" s="23"/>
      <c r="J403" s="5"/>
      <c r="K403" s="31">
        <f t="shared" si="30"/>
      </c>
      <c r="L403" s="32">
        <f>IF($A403="","",C403*SUMIFS(Settings!$B$21:$B$25,Settings!$A$21:$A$25,SUMPRODUCT(MAX((Settings!$A$21:$A$25&lt;=$A403)*Settings!$A$21:$A$25)))+D403*SUMIFS(Settings!$C$21:$C$25,Settings!$A$21:$A$25,SUMPRODUCT(MAX((Settings!$A$21:$A$25&lt;=$A403)*Settings!$A$21:$A$25))))</f>
      </c>
      <c r="M403" s="32">
        <f>IF($A403="","",L403*IFERROR(INDEX(Settings!$B$30:$B$36,MATCH($B403,Settings!$A$30:$A$36,0)),0))</f>
      </c>
      <c r="N403" s="32">
        <f t="shared" si="31"/>
      </c>
      <c r="O403" s="33">
        <f t="shared" si="32"/>
      </c>
      <c r="P403" s="32">
        <f t="shared" si="33"/>
      </c>
      <c r="Q403" s="33">
        <f t="shared" si="34"/>
      </c>
    </row>
    <row r="404" spans="1:17" x14ac:dyDescent="0.25">
      <c r="A404" s="22"/>
      <c r="B404" s="5"/>
      <c r="C404" s="5"/>
      <c r="D404" s="5"/>
      <c r="E404" s="5"/>
      <c r="F404" s="5"/>
      <c r="G404" s="5"/>
      <c r="H404" s="23"/>
      <c r="I404" s="23"/>
      <c r="J404" s="5"/>
      <c r="K404" s="31">
        <f t="shared" si="30"/>
      </c>
      <c r="L404" s="32">
        <f>IF($A404="","",C404*SUMIFS(Settings!$B$21:$B$25,Settings!$A$21:$A$25,SUMPRODUCT(MAX((Settings!$A$21:$A$25&lt;=$A404)*Settings!$A$21:$A$25)))+D404*SUMIFS(Settings!$C$21:$C$25,Settings!$A$21:$A$25,SUMPRODUCT(MAX((Settings!$A$21:$A$25&lt;=$A404)*Settings!$A$21:$A$25))))</f>
      </c>
      <c r="M404" s="32">
        <f>IF($A404="","",L404*IFERROR(INDEX(Settings!$B$30:$B$36,MATCH($B404,Settings!$A$30:$A$36,0)),0))</f>
      </c>
      <c r="N404" s="32">
        <f t="shared" si="31"/>
      </c>
      <c r="O404" s="33">
        <f t="shared" si="32"/>
      </c>
      <c r="P404" s="32">
        <f t="shared" si="33"/>
      </c>
      <c r="Q404" s="33">
        <f t="shared" si="34"/>
      </c>
    </row>
    <row r="405" spans="1:17" x14ac:dyDescent="0.25">
      <c r="A405" s="22"/>
      <c r="B405" s="5"/>
      <c r="C405" s="5"/>
      <c r="D405" s="5"/>
      <c r="E405" s="5"/>
      <c r="F405" s="5"/>
      <c r="G405" s="5"/>
      <c r="H405" s="23"/>
      <c r="I405" s="23"/>
      <c r="J405" s="5"/>
      <c r="K405" s="31">
        <f t="shared" si="30"/>
      </c>
      <c r="L405" s="32">
        <f>IF($A405="","",C405*SUMIFS(Settings!$B$21:$B$25,Settings!$A$21:$A$25,SUMPRODUCT(MAX((Settings!$A$21:$A$25&lt;=$A405)*Settings!$A$21:$A$25)))+D405*SUMIFS(Settings!$C$21:$C$25,Settings!$A$21:$A$25,SUMPRODUCT(MAX((Settings!$A$21:$A$25&lt;=$A405)*Settings!$A$21:$A$25))))</f>
      </c>
      <c r="M405" s="32">
        <f>IF($A405="","",L405*IFERROR(INDEX(Settings!$B$30:$B$36,MATCH($B405,Settings!$A$30:$A$36,0)),0))</f>
      </c>
      <c r="N405" s="32">
        <f t="shared" si="31"/>
      </c>
      <c r="O405" s="33">
        <f t="shared" si="32"/>
      </c>
      <c r="P405" s="32">
        <f t="shared" si="33"/>
      </c>
      <c r="Q405" s="33">
        <f t="shared" si="34"/>
      </c>
    </row>
    <row r="406" spans="1:17" x14ac:dyDescent="0.25">
      <c r="A406" s="22"/>
      <c r="B406" s="5"/>
      <c r="C406" s="5"/>
      <c r="D406" s="5"/>
      <c r="E406" s="5"/>
      <c r="F406" s="5"/>
      <c r="G406" s="5"/>
      <c r="H406" s="23"/>
      <c r="I406" s="23"/>
      <c r="J406" s="5"/>
      <c r="K406" s="31">
        <f t="shared" si="30"/>
      </c>
      <c r="L406" s="32">
        <f>IF($A406="","",C406*SUMIFS(Settings!$B$21:$B$25,Settings!$A$21:$A$25,SUMPRODUCT(MAX((Settings!$A$21:$A$25&lt;=$A406)*Settings!$A$21:$A$25)))+D406*SUMIFS(Settings!$C$21:$C$25,Settings!$A$21:$A$25,SUMPRODUCT(MAX((Settings!$A$21:$A$25&lt;=$A406)*Settings!$A$21:$A$25))))</f>
      </c>
      <c r="M406" s="32">
        <f>IF($A406="","",L406*IFERROR(INDEX(Settings!$B$30:$B$36,MATCH($B406,Settings!$A$30:$A$36,0)),0))</f>
      </c>
      <c r="N406" s="32">
        <f t="shared" si="31"/>
      </c>
      <c r="O406" s="33">
        <f t="shared" si="32"/>
      </c>
      <c r="P406" s="32">
        <f t="shared" si="33"/>
      </c>
      <c r="Q406" s="33">
        <f t="shared" si="34"/>
      </c>
    </row>
    <row r="407" spans="1:17" x14ac:dyDescent="0.25">
      <c r="A407" s="22"/>
      <c r="B407" s="5"/>
      <c r="C407" s="5"/>
      <c r="D407" s="5"/>
      <c r="E407" s="5"/>
      <c r="F407" s="5"/>
      <c r="G407" s="5"/>
      <c r="H407" s="23"/>
      <c r="I407" s="23"/>
      <c r="J407" s="5"/>
      <c r="K407" s="31">
        <f t="shared" si="30"/>
      </c>
      <c r="L407" s="32">
        <f>IF($A407="","",C407*SUMIFS(Settings!$B$21:$B$25,Settings!$A$21:$A$25,SUMPRODUCT(MAX((Settings!$A$21:$A$25&lt;=$A407)*Settings!$A$21:$A$25)))+D407*SUMIFS(Settings!$C$21:$C$25,Settings!$A$21:$A$25,SUMPRODUCT(MAX((Settings!$A$21:$A$25&lt;=$A407)*Settings!$A$21:$A$25))))</f>
      </c>
      <c r="M407" s="32">
        <f>IF($A407="","",L407*IFERROR(INDEX(Settings!$B$30:$B$36,MATCH($B407,Settings!$A$30:$A$36,0)),0))</f>
      </c>
      <c r="N407" s="32">
        <f t="shared" si="31"/>
      </c>
      <c r="O407" s="33">
        <f t="shared" si="32"/>
      </c>
      <c r="P407" s="32">
        <f t="shared" si="33"/>
      </c>
      <c r="Q407" s="33">
        <f t="shared" si="34"/>
      </c>
    </row>
    <row r="408" spans="1:17" x14ac:dyDescent="0.25">
      <c r="A408" s="22"/>
      <c r="B408" s="5"/>
      <c r="C408" s="5"/>
      <c r="D408" s="5"/>
      <c r="E408" s="5"/>
      <c r="F408" s="5"/>
      <c r="G408" s="5"/>
      <c r="H408" s="23"/>
      <c r="I408" s="23"/>
      <c r="J408" s="5"/>
      <c r="K408" s="31">
        <f t="shared" si="30"/>
      </c>
      <c r="L408" s="32">
        <f>IF($A408="","",C408*SUMIFS(Settings!$B$21:$B$25,Settings!$A$21:$A$25,SUMPRODUCT(MAX((Settings!$A$21:$A$25&lt;=$A408)*Settings!$A$21:$A$25)))+D408*SUMIFS(Settings!$C$21:$C$25,Settings!$A$21:$A$25,SUMPRODUCT(MAX((Settings!$A$21:$A$25&lt;=$A408)*Settings!$A$21:$A$25))))</f>
      </c>
      <c r="M408" s="32">
        <f>IF($A408="","",L408*IFERROR(INDEX(Settings!$B$30:$B$36,MATCH($B408,Settings!$A$30:$A$36,0)),0))</f>
      </c>
      <c r="N408" s="32">
        <f t="shared" si="31"/>
      </c>
      <c r="O408" s="33">
        <f t="shared" si="32"/>
      </c>
      <c r="P408" s="32">
        <f t="shared" si="33"/>
      </c>
      <c r="Q408" s="33">
        <f t="shared" si="34"/>
      </c>
    </row>
    <row r="409" spans="1:17" x14ac:dyDescent="0.25">
      <c r="A409" s="22"/>
      <c r="B409" s="5"/>
      <c r="C409" s="5"/>
      <c r="D409" s="5"/>
      <c r="E409" s="5"/>
      <c r="F409" s="5"/>
      <c r="G409" s="5"/>
      <c r="H409" s="23"/>
      <c r="I409" s="23"/>
      <c r="J409" s="5"/>
      <c r="K409" s="31">
        <f t="shared" si="30"/>
      </c>
      <c r="L409" s="32">
        <f>IF($A409="","",C409*SUMIFS(Settings!$B$21:$B$25,Settings!$A$21:$A$25,SUMPRODUCT(MAX((Settings!$A$21:$A$25&lt;=$A409)*Settings!$A$21:$A$25)))+D409*SUMIFS(Settings!$C$21:$C$25,Settings!$A$21:$A$25,SUMPRODUCT(MAX((Settings!$A$21:$A$25&lt;=$A409)*Settings!$A$21:$A$25))))</f>
      </c>
      <c r="M409" s="32">
        <f>IF($A409="","",L409*IFERROR(INDEX(Settings!$B$30:$B$36,MATCH($B409,Settings!$A$30:$A$36,0)),0))</f>
      </c>
      <c r="N409" s="32">
        <f t="shared" si="31"/>
      </c>
      <c r="O409" s="33">
        <f t="shared" si="32"/>
      </c>
      <c r="P409" s="32">
        <f t="shared" si="33"/>
      </c>
      <c r="Q409" s="33">
        <f t="shared" si="34"/>
      </c>
    </row>
    <row r="410" spans="1:17" x14ac:dyDescent="0.25">
      <c r="A410" s="22"/>
      <c r="B410" s="5"/>
      <c r="C410" s="5"/>
      <c r="D410" s="5"/>
      <c r="E410" s="5"/>
      <c r="F410" s="5"/>
      <c r="G410" s="5"/>
      <c r="H410" s="23"/>
      <c r="I410" s="23"/>
      <c r="J410" s="5"/>
      <c r="K410" s="31">
        <f t="shared" si="30"/>
      </c>
      <c r="L410" s="32">
        <f>IF($A410="","",C410*SUMIFS(Settings!$B$21:$B$25,Settings!$A$21:$A$25,SUMPRODUCT(MAX((Settings!$A$21:$A$25&lt;=$A410)*Settings!$A$21:$A$25)))+D410*SUMIFS(Settings!$C$21:$C$25,Settings!$A$21:$A$25,SUMPRODUCT(MAX((Settings!$A$21:$A$25&lt;=$A410)*Settings!$A$21:$A$25))))</f>
      </c>
      <c r="M410" s="32">
        <f>IF($A410="","",L410*IFERROR(INDEX(Settings!$B$30:$B$36,MATCH($B410,Settings!$A$30:$A$36,0)),0))</f>
      </c>
      <c r="N410" s="32">
        <f t="shared" si="31"/>
      </c>
      <c r="O410" s="33">
        <f t="shared" si="32"/>
      </c>
      <c r="P410" s="32">
        <f t="shared" si="33"/>
      </c>
      <c r="Q410" s="33">
        <f t="shared" si="34"/>
      </c>
    </row>
    <row r="411" spans="1:17" x14ac:dyDescent="0.25">
      <c r="A411" s="22"/>
      <c r="B411" s="5"/>
      <c r="C411" s="5"/>
      <c r="D411" s="5"/>
      <c r="E411" s="5"/>
      <c r="F411" s="5"/>
      <c r="G411" s="5"/>
      <c r="H411" s="23"/>
      <c r="I411" s="23"/>
      <c r="J411" s="5"/>
      <c r="K411" s="31">
        <f t="shared" si="30"/>
      </c>
      <c r="L411" s="32">
        <f>IF($A411="","",C411*SUMIFS(Settings!$B$21:$B$25,Settings!$A$21:$A$25,SUMPRODUCT(MAX((Settings!$A$21:$A$25&lt;=$A411)*Settings!$A$21:$A$25)))+D411*SUMIFS(Settings!$C$21:$C$25,Settings!$A$21:$A$25,SUMPRODUCT(MAX((Settings!$A$21:$A$25&lt;=$A411)*Settings!$A$21:$A$25))))</f>
      </c>
      <c r="M411" s="32">
        <f>IF($A411="","",L411*IFERROR(INDEX(Settings!$B$30:$B$36,MATCH($B411,Settings!$A$30:$A$36,0)),0))</f>
      </c>
      <c r="N411" s="32">
        <f t="shared" si="31"/>
      </c>
      <c r="O411" s="33">
        <f t="shared" si="32"/>
      </c>
      <c r="P411" s="32">
        <f t="shared" si="33"/>
      </c>
      <c r="Q411" s="33">
        <f t="shared" si="34"/>
      </c>
    </row>
    <row r="412" spans="1:17" x14ac:dyDescent="0.25">
      <c r="A412" s="22"/>
      <c r="B412" s="5"/>
      <c r="C412" s="5"/>
      <c r="D412" s="5"/>
      <c r="E412" s="5"/>
      <c r="F412" s="5"/>
      <c r="G412" s="5"/>
      <c r="H412" s="23"/>
      <c r="I412" s="23"/>
      <c r="J412" s="5"/>
      <c r="K412" s="31">
        <f t="shared" si="30"/>
      </c>
      <c r="L412" s="32">
        <f>IF($A412="","",C412*SUMIFS(Settings!$B$21:$B$25,Settings!$A$21:$A$25,SUMPRODUCT(MAX((Settings!$A$21:$A$25&lt;=$A412)*Settings!$A$21:$A$25)))+D412*SUMIFS(Settings!$C$21:$C$25,Settings!$A$21:$A$25,SUMPRODUCT(MAX((Settings!$A$21:$A$25&lt;=$A412)*Settings!$A$21:$A$25))))</f>
      </c>
      <c r="M412" s="32">
        <f>IF($A412="","",L412*IFERROR(INDEX(Settings!$B$30:$B$36,MATCH($B412,Settings!$A$30:$A$36,0)),0))</f>
      </c>
      <c r="N412" s="32">
        <f t="shared" si="31"/>
      </c>
      <c r="O412" s="33">
        <f t="shared" si="32"/>
      </c>
      <c r="P412" s="32">
        <f t="shared" si="33"/>
      </c>
      <c r="Q412" s="33">
        <f t="shared" si="34"/>
      </c>
    </row>
    <row r="413" spans="1:17" x14ac:dyDescent="0.25">
      <c r="A413" s="22"/>
      <c r="B413" s="5"/>
      <c r="C413" s="5"/>
      <c r="D413" s="5"/>
      <c r="E413" s="5"/>
      <c r="F413" s="5"/>
      <c r="G413" s="5"/>
      <c r="H413" s="23"/>
      <c r="I413" s="23"/>
      <c r="J413" s="5"/>
      <c r="K413" s="31">
        <f t="shared" si="30"/>
      </c>
      <c r="L413" s="32">
        <f>IF($A413="","",C413*SUMIFS(Settings!$B$21:$B$25,Settings!$A$21:$A$25,SUMPRODUCT(MAX((Settings!$A$21:$A$25&lt;=$A413)*Settings!$A$21:$A$25)))+D413*SUMIFS(Settings!$C$21:$C$25,Settings!$A$21:$A$25,SUMPRODUCT(MAX((Settings!$A$21:$A$25&lt;=$A413)*Settings!$A$21:$A$25))))</f>
      </c>
      <c r="M413" s="32">
        <f>IF($A413="","",L413*IFERROR(INDEX(Settings!$B$30:$B$36,MATCH($B413,Settings!$A$30:$A$36,0)),0))</f>
      </c>
      <c r="N413" s="32">
        <f t="shared" si="31"/>
      </c>
      <c r="O413" s="33">
        <f t="shared" si="32"/>
      </c>
      <c r="P413" s="32">
        <f t="shared" si="33"/>
      </c>
      <c r="Q413" s="33">
        <f t="shared" si="34"/>
      </c>
    </row>
    <row r="414" spans="1:17" x14ac:dyDescent="0.25">
      <c r="A414" s="22"/>
      <c r="B414" s="5"/>
      <c r="C414" s="5"/>
      <c r="D414" s="5"/>
      <c r="E414" s="5"/>
      <c r="F414" s="5"/>
      <c r="G414" s="5"/>
      <c r="H414" s="23"/>
      <c r="I414" s="23"/>
      <c r="J414" s="5"/>
      <c r="K414" s="31">
        <f t="shared" si="30"/>
      </c>
      <c r="L414" s="32">
        <f>IF($A414="","",C414*SUMIFS(Settings!$B$21:$B$25,Settings!$A$21:$A$25,SUMPRODUCT(MAX((Settings!$A$21:$A$25&lt;=$A414)*Settings!$A$21:$A$25)))+D414*SUMIFS(Settings!$C$21:$C$25,Settings!$A$21:$A$25,SUMPRODUCT(MAX((Settings!$A$21:$A$25&lt;=$A414)*Settings!$A$21:$A$25))))</f>
      </c>
      <c r="M414" s="32">
        <f>IF($A414="","",L414*IFERROR(INDEX(Settings!$B$30:$B$36,MATCH($B414,Settings!$A$30:$A$36,0)),0))</f>
      </c>
      <c r="N414" s="32">
        <f t="shared" si="31"/>
      </c>
      <c r="O414" s="33">
        <f t="shared" si="32"/>
      </c>
      <c r="P414" s="32">
        <f t="shared" si="33"/>
      </c>
      <c r="Q414" s="33">
        <f t="shared" si="34"/>
      </c>
    </row>
    <row r="415" spans="1:17" x14ac:dyDescent="0.25">
      <c r="A415" s="22"/>
      <c r="B415" s="5"/>
      <c r="C415" s="5"/>
      <c r="D415" s="5"/>
      <c r="E415" s="5"/>
      <c r="F415" s="5"/>
      <c r="G415" s="5"/>
      <c r="H415" s="23"/>
      <c r="I415" s="23"/>
      <c r="J415" s="5"/>
      <c r="K415" s="31">
        <f t="shared" si="30"/>
      </c>
      <c r="L415" s="32">
        <f>IF($A415="","",C415*SUMIFS(Settings!$B$21:$B$25,Settings!$A$21:$A$25,SUMPRODUCT(MAX((Settings!$A$21:$A$25&lt;=$A415)*Settings!$A$21:$A$25)))+D415*SUMIFS(Settings!$C$21:$C$25,Settings!$A$21:$A$25,SUMPRODUCT(MAX((Settings!$A$21:$A$25&lt;=$A415)*Settings!$A$21:$A$25))))</f>
      </c>
      <c r="M415" s="32">
        <f>IF($A415="","",L415*IFERROR(INDEX(Settings!$B$30:$B$36,MATCH($B415,Settings!$A$30:$A$36,0)),0))</f>
      </c>
      <c r="N415" s="32">
        <f t="shared" si="31"/>
      </c>
      <c r="O415" s="33">
        <f t="shared" si="32"/>
      </c>
      <c r="P415" s="32">
        <f t="shared" si="33"/>
      </c>
      <c r="Q415" s="33">
        <f t="shared" si="34"/>
      </c>
    </row>
    <row r="416" spans="1:17" x14ac:dyDescent="0.25">
      <c r="A416" s="22"/>
      <c r="B416" s="5"/>
      <c r="C416" s="5"/>
      <c r="D416" s="5"/>
      <c r="E416" s="5"/>
      <c r="F416" s="5"/>
      <c r="G416" s="5"/>
      <c r="H416" s="23"/>
      <c r="I416" s="23"/>
      <c r="J416" s="5"/>
      <c r="K416" s="31">
        <f t="shared" si="30"/>
      </c>
      <c r="L416" s="32">
        <f>IF($A416="","",C416*SUMIFS(Settings!$B$21:$B$25,Settings!$A$21:$A$25,SUMPRODUCT(MAX((Settings!$A$21:$A$25&lt;=$A416)*Settings!$A$21:$A$25)))+D416*SUMIFS(Settings!$C$21:$C$25,Settings!$A$21:$A$25,SUMPRODUCT(MAX((Settings!$A$21:$A$25&lt;=$A416)*Settings!$A$21:$A$25))))</f>
      </c>
      <c r="M416" s="32">
        <f>IF($A416="","",L416*IFERROR(INDEX(Settings!$B$30:$B$36,MATCH($B416,Settings!$A$30:$A$36,0)),0))</f>
      </c>
      <c r="N416" s="32">
        <f t="shared" si="31"/>
      </c>
      <c r="O416" s="33">
        <f t="shared" si="32"/>
      </c>
      <c r="P416" s="32">
        <f t="shared" si="33"/>
      </c>
      <c r="Q416" s="33">
        <f t="shared" si="34"/>
      </c>
    </row>
    <row r="417" spans="1:17" x14ac:dyDescent="0.25">
      <c r="A417" s="22"/>
      <c r="B417" s="5"/>
      <c r="C417" s="5"/>
      <c r="D417" s="5"/>
      <c r="E417" s="5"/>
      <c r="F417" s="5"/>
      <c r="G417" s="5"/>
      <c r="H417" s="23"/>
      <c r="I417" s="23"/>
      <c r="J417" s="5"/>
      <c r="K417" s="31">
        <f t="shared" si="30"/>
      </c>
      <c r="L417" s="32">
        <f>IF($A417="","",C417*SUMIFS(Settings!$B$21:$B$25,Settings!$A$21:$A$25,SUMPRODUCT(MAX((Settings!$A$21:$A$25&lt;=$A417)*Settings!$A$21:$A$25)))+D417*SUMIFS(Settings!$C$21:$C$25,Settings!$A$21:$A$25,SUMPRODUCT(MAX((Settings!$A$21:$A$25&lt;=$A417)*Settings!$A$21:$A$25))))</f>
      </c>
      <c r="M417" s="32">
        <f>IF($A417="","",L417*IFERROR(INDEX(Settings!$B$30:$B$36,MATCH($B417,Settings!$A$30:$A$36,0)),0))</f>
      </c>
      <c r="N417" s="32">
        <f t="shared" si="31"/>
      </c>
      <c r="O417" s="33">
        <f t="shared" si="32"/>
      </c>
      <c r="P417" s="32">
        <f t="shared" si="33"/>
      </c>
      <c r="Q417" s="33">
        <f t="shared" si="34"/>
      </c>
    </row>
    <row r="418" spans="1:17" x14ac:dyDescent="0.25">
      <c r="A418" s="22"/>
      <c r="B418" s="5"/>
      <c r="C418" s="5"/>
      <c r="D418" s="5"/>
      <c r="E418" s="5"/>
      <c r="F418" s="5"/>
      <c r="G418" s="5"/>
      <c r="H418" s="23"/>
      <c r="I418" s="23"/>
      <c r="J418" s="5"/>
      <c r="K418" s="31">
        <f t="shared" si="30"/>
      </c>
      <c r="L418" s="32">
        <f>IF($A418="","",C418*SUMIFS(Settings!$B$21:$B$25,Settings!$A$21:$A$25,SUMPRODUCT(MAX((Settings!$A$21:$A$25&lt;=$A418)*Settings!$A$21:$A$25)))+D418*SUMIFS(Settings!$C$21:$C$25,Settings!$A$21:$A$25,SUMPRODUCT(MAX((Settings!$A$21:$A$25&lt;=$A418)*Settings!$A$21:$A$25))))</f>
      </c>
      <c r="M418" s="32">
        <f>IF($A418="","",L418*IFERROR(INDEX(Settings!$B$30:$B$36,MATCH($B418,Settings!$A$30:$A$36,0)),0))</f>
      </c>
      <c r="N418" s="32">
        <f t="shared" si="31"/>
      </c>
      <c r="O418" s="33">
        <f t="shared" si="32"/>
      </c>
      <c r="P418" s="32">
        <f t="shared" si="33"/>
      </c>
      <c r="Q418" s="33">
        <f t="shared" si="34"/>
      </c>
    </row>
    <row r="419" spans="1:17" x14ac:dyDescent="0.25">
      <c r="A419" s="22"/>
      <c r="B419" s="5"/>
      <c r="C419" s="5"/>
      <c r="D419" s="5"/>
      <c r="E419" s="5"/>
      <c r="F419" s="5"/>
      <c r="G419" s="5"/>
      <c r="H419" s="23"/>
      <c r="I419" s="23"/>
      <c r="J419" s="5"/>
      <c r="K419" s="31">
        <f t="shared" si="30"/>
      </c>
      <c r="L419" s="32">
        <f>IF($A419="","",C419*SUMIFS(Settings!$B$21:$B$25,Settings!$A$21:$A$25,SUMPRODUCT(MAX((Settings!$A$21:$A$25&lt;=$A419)*Settings!$A$21:$A$25)))+D419*SUMIFS(Settings!$C$21:$C$25,Settings!$A$21:$A$25,SUMPRODUCT(MAX((Settings!$A$21:$A$25&lt;=$A419)*Settings!$A$21:$A$25))))</f>
      </c>
      <c r="M419" s="32">
        <f>IF($A419="","",L419*IFERROR(INDEX(Settings!$B$30:$B$36,MATCH($B419,Settings!$A$30:$A$36,0)),0))</f>
      </c>
      <c r="N419" s="32">
        <f t="shared" si="31"/>
      </c>
      <c r="O419" s="33">
        <f t="shared" si="32"/>
      </c>
      <c r="P419" s="32">
        <f t="shared" si="33"/>
      </c>
      <c r="Q419" s="33">
        <f t="shared" si="34"/>
      </c>
    </row>
    <row r="420" spans="1:17" x14ac:dyDescent="0.25">
      <c r="A420" s="22"/>
      <c r="B420" s="5"/>
      <c r="C420" s="5"/>
      <c r="D420" s="5"/>
      <c r="E420" s="5"/>
      <c r="F420" s="5"/>
      <c r="G420" s="5"/>
      <c r="H420" s="23"/>
      <c r="I420" s="23"/>
      <c r="J420" s="5"/>
      <c r="K420" s="31">
        <f t="shared" si="30"/>
      </c>
      <c r="L420" s="32">
        <f>IF($A420="","",C420*SUMIFS(Settings!$B$21:$B$25,Settings!$A$21:$A$25,SUMPRODUCT(MAX((Settings!$A$21:$A$25&lt;=$A420)*Settings!$A$21:$A$25)))+D420*SUMIFS(Settings!$C$21:$C$25,Settings!$A$21:$A$25,SUMPRODUCT(MAX((Settings!$A$21:$A$25&lt;=$A420)*Settings!$A$21:$A$25))))</f>
      </c>
      <c r="M420" s="32">
        <f>IF($A420="","",L420*IFERROR(INDEX(Settings!$B$30:$B$36,MATCH($B420,Settings!$A$30:$A$36,0)),0))</f>
      </c>
      <c r="N420" s="32">
        <f t="shared" si="31"/>
      </c>
      <c r="O420" s="33">
        <f t="shared" si="32"/>
      </c>
      <c r="P420" s="32">
        <f t="shared" si="33"/>
      </c>
      <c r="Q420" s="33">
        <f t="shared" si="34"/>
      </c>
    </row>
    <row r="421" spans="1:17" x14ac:dyDescent="0.25">
      <c r="A421" s="22"/>
      <c r="B421" s="5"/>
      <c r="C421" s="5"/>
      <c r="D421" s="5"/>
      <c r="E421" s="5"/>
      <c r="F421" s="5"/>
      <c r="G421" s="5"/>
      <c r="H421" s="23"/>
      <c r="I421" s="23"/>
      <c r="J421" s="5"/>
      <c r="K421" s="31">
        <f t="shared" si="30"/>
      </c>
      <c r="L421" s="32">
        <f>IF($A421="","",C421*SUMIFS(Settings!$B$21:$B$25,Settings!$A$21:$A$25,SUMPRODUCT(MAX((Settings!$A$21:$A$25&lt;=$A421)*Settings!$A$21:$A$25)))+D421*SUMIFS(Settings!$C$21:$C$25,Settings!$A$21:$A$25,SUMPRODUCT(MAX((Settings!$A$21:$A$25&lt;=$A421)*Settings!$A$21:$A$25))))</f>
      </c>
      <c r="M421" s="32">
        <f>IF($A421="","",L421*IFERROR(INDEX(Settings!$B$30:$B$36,MATCH($B421,Settings!$A$30:$A$36,0)),0))</f>
      </c>
      <c r="N421" s="32">
        <f t="shared" si="31"/>
      </c>
      <c r="O421" s="33">
        <f t="shared" si="32"/>
      </c>
      <c r="P421" s="32">
        <f t="shared" si="33"/>
      </c>
      <c r="Q421" s="33">
        <f t="shared" si="34"/>
      </c>
    </row>
    <row r="422" spans="1:17" x14ac:dyDescent="0.25">
      <c r="A422" s="22"/>
      <c r="B422" s="5"/>
      <c r="C422" s="5"/>
      <c r="D422" s="5"/>
      <c r="E422" s="5"/>
      <c r="F422" s="5"/>
      <c r="G422" s="5"/>
      <c r="H422" s="23"/>
      <c r="I422" s="23"/>
      <c r="J422" s="5"/>
      <c r="K422" s="31">
        <f t="shared" si="30"/>
      </c>
      <c r="L422" s="32">
        <f>IF($A422="","",C422*SUMIFS(Settings!$B$21:$B$25,Settings!$A$21:$A$25,SUMPRODUCT(MAX((Settings!$A$21:$A$25&lt;=$A422)*Settings!$A$21:$A$25)))+D422*SUMIFS(Settings!$C$21:$C$25,Settings!$A$21:$A$25,SUMPRODUCT(MAX((Settings!$A$21:$A$25&lt;=$A422)*Settings!$A$21:$A$25))))</f>
      </c>
      <c r="M422" s="32">
        <f>IF($A422="","",L422*IFERROR(INDEX(Settings!$B$30:$B$36,MATCH($B422,Settings!$A$30:$A$36,0)),0))</f>
      </c>
      <c r="N422" s="32">
        <f t="shared" si="31"/>
      </c>
      <c r="O422" s="33">
        <f t="shared" si="32"/>
      </c>
      <c r="P422" s="32">
        <f t="shared" si="33"/>
      </c>
      <c r="Q422" s="33">
        <f t="shared" si="34"/>
      </c>
    </row>
    <row r="423" spans="1:17" x14ac:dyDescent="0.25">
      <c r="A423" s="22"/>
      <c r="B423" s="5"/>
      <c r="C423" s="5"/>
      <c r="D423" s="5"/>
      <c r="E423" s="5"/>
      <c r="F423" s="5"/>
      <c r="G423" s="5"/>
      <c r="H423" s="23"/>
      <c r="I423" s="23"/>
      <c r="J423" s="5"/>
      <c r="K423" s="31">
        <f t="shared" si="30"/>
      </c>
      <c r="L423" s="32">
        <f>IF($A423="","",C423*SUMIFS(Settings!$B$21:$B$25,Settings!$A$21:$A$25,SUMPRODUCT(MAX((Settings!$A$21:$A$25&lt;=$A423)*Settings!$A$21:$A$25)))+D423*SUMIFS(Settings!$C$21:$C$25,Settings!$A$21:$A$25,SUMPRODUCT(MAX((Settings!$A$21:$A$25&lt;=$A423)*Settings!$A$21:$A$25))))</f>
      </c>
      <c r="M423" s="32">
        <f>IF($A423="","",L423*IFERROR(INDEX(Settings!$B$30:$B$36,MATCH($B423,Settings!$A$30:$A$36,0)),0))</f>
      </c>
      <c r="N423" s="32">
        <f t="shared" si="31"/>
      </c>
      <c r="O423" s="33">
        <f t="shared" si="32"/>
      </c>
      <c r="P423" s="32">
        <f t="shared" si="33"/>
      </c>
      <c r="Q423" s="33">
        <f t="shared" si="34"/>
      </c>
    </row>
    <row r="424" spans="1:17" x14ac:dyDescent="0.25">
      <c r="A424" s="22"/>
      <c r="B424" s="5"/>
      <c r="C424" s="5"/>
      <c r="D424" s="5"/>
      <c r="E424" s="5"/>
      <c r="F424" s="5"/>
      <c r="G424" s="5"/>
      <c r="H424" s="23"/>
      <c r="I424" s="23"/>
      <c r="J424" s="5"/>
      <c r="K424" s="31">
        <f t="shared" si="30"/>
      </c>
      <c r="L424" s="32">
        <f>IF($A424="","",C424*SUMIFS(Settings!$B$21:$B$25,Settings!$A$21:$A$25,SUMPRODUCT(MAX((Settings!$A$21:$A$25&lt;=$A424)*Settings!$A$21:$A$25)))+D424*SUMIFS(Settings!$C$21:$C$25,Settings!$A$21:$A$25,SUMPRODUCT(MAX((Settings!$A$21:$A$25&lt;=$A424)*Settings!$A$21:$A$25))))</f>
      </c>
      <c r="M424" s="32">
        <f>IF($A424="","",L424*IFERROR(INDEX(Settings!$B$30:$B$36,MATCH($B424,Settings!$A$30:$A$36,0)),0))</f>
      </c>
      <c r="N424" s="32">
        <f t="shared" si="31"/>
      </c>
      <c r="O424" s="33">
        <f t="shared" si="32"/>
      </c>
      <c r="P424" s="32">
        <f t="shared" si="33"/>
      </c>
      <c r="Q424" s="33">
        <f t="shared" si="34"/>
      </c>
    </row>
    <row r="425" spans="1:17" x14ac:dyDescent="0.25">
      <c r="A425" s="22"/>
      <c r="B425" s="5"/>
      <c r="C425" s="5"/>
      <c r="D425" s="5"/>
      <c r="E425" s="5"/>
      <c r="F425" s="5"/>
      <c r="G425" s="5"/>
      <c r="H425" s="23"/>
      <c r="I425" s="23"/>
      <c r="J425" s="5"/>
      <c r="K425" s="31">
        <f t="shared" si="30"/>
      </c>
      <c r="L425" s="32">
        <f>IF($A425="","",C425*SUMIFS(Settings!$B$21:$B$25,Settings!$A$21:$A$25,SUMPRODUCT(MAX((Settings!$A$21:$A$25&lt;=$A425)*Settings!$A$21:$A$25)))+D425*SUMIFS(Settings!$C$21:$C$25,Settings!$A$21:$A$25,SUMPRODUCT(MAX((Settings!$A$21:$A$25&lt;=$A425)*Settings!$A$21:$A$25))))</f>
      </c>
      <c r="M425" s="32">
        <f>IF($A425="","",L425*IFERROR(INDEX(Settings!$B$30:$B$36,MATCH($B425,Settings!$A$30:$A$36,0)),0))</f>
      </c>
      <c r="N425" s="32">
        <f t="shared" si="31"/>
      </c>
      <c r="O425" s="33">
        <f t="shared" si="32"/>
      </c>
      <c r="P425" s="32">
        <f t="shared" si="33"/>
      </c>
      <c r="Q425" s="33">
        <f t="shared" si="34"/>
      </c>
    </row>
    <row r="426" spans="1:17" x14ac:dyDescent="0.25">
      <c r="A426" s="22"/>
      <c r="B426" s="5"/>
      <c r="C426" s="5"/>
      <c r="D426" s="5"/>
      <c r="E426" s="5"/>
      <c r="F426" s="5"/>
      <c r="G426" s="5"/>
      <c r="H426" s="23"/>
      <c r="I426" s="23"/>
      <c r="J426" s="5"/>
      <c r="K426" s="31">
        <f t="shared" si="30"/>
      </c>
      <c r="L426" s="32">
        <f>IF($A426="","",C426*SUMIFS(Settings!$B$21:$B$25,Settings!$A$21:$A$25,SUMPRODUCT(MAX((Settings!$A$21:$A$25&lt;=$A426)*Settings!$A$21:$A$25)))+D426*SUMIFS(Settings!$C$21:$C$25,Settings!$A$21:$A$25,SUMPRODUCT(MAX((Settings!$A$21:$A$25&lt;=$A426)*Settings!$A$21:$A$25))))</f>
      </c>
      <c r="M426" s="32">
        <f>IF($A426="","",L426*IFERROR(INDEX(Settings!$B$30:$B$36,MATCH($B426,Settings!$A$30:$A$36,0)),0))</f>
      </c>
      <c r="N426" s="32">
        <f t="shared" si="31"/>
      </c>
      <c r="O426" s="33">
        <f t="shared" si="32"/>
      </c>
      <c r="P426" s="32">
        <f t="shared" si="33"/>
      </c>
      <c r="Q426" s="33">
        <f t="shared" si="34"/>
      </c>
    </row>
    <row r="427" spans="1:17" x14ac:dyDescent="0.25">
      <c r="A427" s="22"/>
      <c r="B427" s="5"/>
      <c r="C427" s="5"/>
      <c r="D427" s="5"/>
      <c r="E427" s="5"/>
      <c r="F427" s="5"/>
      <c r="G427" s="5"/>
      <c r="H427" s="23"/>
      <c r="I427" s="23"/>
      <c r="J427" s="5"/>
      <c r="K427" s="31">
        <f t="shared" si="30"/>
      </c>
      <c r="L427" s="32">
        <f>IF($A427="","",C427*SUMIFS(Settings!$B$21:$B$25,Settings!$A$21:$A$25,SUMPRODUCT(MAX((Settings!$A$21:$A$25&lt;=$A427)*Settings!$A$21:$A$25)))+D427*SUMIFS(Settings!$C$21:$C$25,Settings!$A$21:$A$25,SUMPRODUCT(MAX((Settings!$A$21:$A$25&lt;=$A427)*Settings!$A$21:$A$25))))</f>
      </c>
      <c r="M427" s="32">
        <f>IF($A427="","",L427*IFERROR(INDEX(Settings!$B$30:$B$36,MATCH($B427,Settings!$A$30:$A$36,0)),0))</f>
      </c>
      <c r="N427" s="32">
        <f t="shared" si="31"/>
      </c>
      <c r="O427" s="33">
        <f t="shared" si="32"/>
      </c>
      <c r="P427" s="32">
        <f t="shared" si="33"/>
      </c>
      <c r="Q427" s="33">
        <f t="shared" si="34"/>
      </c>
    </row>
    <row r="428" spans="1:17" x14ac:dyDescent="0.25">
      <c r="A428" s="22"/>
      <c r="B428" s="5"/>
      <c r="C428" s="5"/>
      <c r="D428" s="5"/>
      <c r="E428" s="5"/>
      <c r="F428" s="5"/>
      <c r="G428" s="5"/>
      <c r="H428" s="23"/>
      <c r="I428" s="23"/>
      <c r="J428" s="5"/>
      <c r="K428" s="31">
        <f t="shared" si="30"/>
      </c>
      <c r="L428" s="32">
        <f>IF($A428="","",C428*SUMIFS(Settings!$B$21:$B$25,Settings!$A$21:$A$25,SUMPRODUCT(MAX((Settings!$A$21:$A$25&lt;=$A428)*Settings!$A$21:$A$25)))+D428*SUMIFS(Settings!$C$21:$C$25,Settings!$A$21:$A$25,SUMPRODUCT(MAX((Settings!$A$21:$A$25&lt;=$A428)*Settings!$A$21:$A$25))))</f>
      </c>
      <c r="M428" s="32">
        <f>IF($A428="","",L428*IFERROR(INDEX(Settings!$B$30:$B$36,MATCH($B428,Settings!$A$30:$A$36,0)),0))</f>
      </c>
      <c r="N428" s="32">
        <f t="shared" si="31"/>
      </c>
      <c r="O428" s="33">
        <f t="shared" si="32"/>
      </c>
      <c r="P428" s="32">
        <f t="shared" si="33"/>
      </c>
      <c r="Q428" s="33">
        <f t="shared" si="34"/>
      </c>
    </row>
    <row r="429" spans="1:17" x14ac:dyDescent="0.25">
      <c r="A429" s="22"/>
      <c r="B429" s="5"/>
      <c r="C429" s="5"/>
      <c r="D429" s="5"/>
      <c r="E429" s="5"/>
      <c r="F429" s="5"/>
      <c r="G429" s="5"/>
      <c r="H429" s="23"/>
      <c r="I429" s="23"/>
      <c r="J429" s="5"/>
      <c r="K429" s="31">
        <f t="shared" si="30"/>
      </c>
      <c r="L429" s="32">
        <f>IF($A429="","",C429*SUMIFS(Settings!$B$21:$B$25,Settings!$A$21:$A$25,SUMPRODUCT(MAX((Settings!$A$21:$A$25&lt;=$A429)*Settings!$A$21:$A$25)))+D429*SUMIFS(Settings!$C$21:$C$25,Settings!$A$21:$A$25,SUMPRODUCT(MAX((Settings!$A$21:$A$25&lt;=$A429)*Settings!$A$21:$A$25))))</f>
      </c>
      <c r="M429" s="32">
        <f>IF($A429="","",L429*IFERROR(INDEX(Settings!$B$30:$B$36,MATCH($B429,Settings!$A$30:$A$36,0)),0))</f>
      </c>
      <c r="N429" s="32">
        <f t="shared" si="31"/>
      </c>
      <c r="O429" s="33">
        <f t="shared" si="32"/>
      </c>
      <c r="P429" s="32">
        <f t="shared" si="33"/>
      </c>
      <c r="Q429" s="33">
        <f t="shared" si="34"/>
      </c>
    </row>
    <row r="430" spans="1:17" x14ac:dyDescent="0.25">
      <c r="A430" s="22"/>
      <c r="B430" s="5"/>
      <c r="C430" s="5"/>
      <c r="D430" s="5"/>
      <c r="E430" s="5"/>
      <c r="F430" s="5"/>
      <c r="G430" s="5"/>
      <c r="H430" s="23"/>
      <c r="I430" s="23"/>
      <c r="J430" s="5"/>
      <c r="K430" s="31">
        <f t="shared" si="30"/>
      </c>
      <c r="L430" s="32">
        <f>IF($A430="","",C430*SUMIFS(Settings!$B$21:$B$25,Settings!$A$21:$A$25,SUMPRODUCT(MAX((Settings!$A$21:$A$25&lt;=$A430)*Settings!$A$21:$A$25)))+D430*SUMIFS(Settings!$C$21:$C$25,Settings!$A$21:$A$25,SUMPRODUCT(MAX((Settings!$A$21:$A$25&lt;=$A430)*Settings!$A$21:$A$25))))</f>
      </c>
      <c r="M430" s="32">
        <f>IF($A430="","",L430*IFERROR(INDEX(Settings!$B$30:$B$36,MATCH($B430,Settings!$A$30:$A$36,0)),0))</f>
      </c>
      <c r="N430" s="32">
        <f t="shared" si="31"/>
      </c>
      <c r="O430" s="33">
        <f t="shared" si="32"/>
      </c>
      <c r="P430" s="32">
        <f t="shared" si="33"/>
      </c>
      <c r="Q430" s="33">
        <f t="shared" si="34"/>
      </c>
    </row>
    <row r="431" spans="1:17" x14ac:dyDescent="0.25">
      <c r="A431" s="22"/>
      <c r="B431" s="5"/>
      <c r="C431" s="5"/>
      <c r="D431" s="5"/>
      <c r="E431" s="5"/>
      <c r="F431" s="5"/>
      <c r="G431" s="5"/>
      <c r="H431" s="23"/>
      <c r="I431" s="23"/>
      <c r="J431" s="5"/>
      <c r="K431" s="31">
        <f t="shared" si="30"/>
      </c>
      <c r="L431" s="32">
        <f>IF($A431="","",C431*SUMIFS(Settings!$B$21:$B$25,Settings!$A$21:$A$25,SUMPRODUCT(MAX((Settings!$A$21:$A$25&lt;=$A431)*Settings!$A$21:$A$25)))+D431*SUMIFS(Settings!$C$21:$C$25,Settings!$A$21:$A$25,SUMPRODUCT(MAX((Settings!$A$21:$A$25&lt;=$A431)*Settings!$A$21:$A$25))))</f>
      </c>
      <c r="M431" s="32">
        <f>IF($A431="","",L431*IFERROR(INDEX(Settings!$B$30:$B$36,MATCH($B431,Settings!$A$30:$A$36,0)),0))</f>
      </c>
      <c r="N431" s="32">
        <f t="shared" si="31"/>
      </c>
      <c r="O431" s="33">
        <f t="shared" si="32"/>
      </c>
      <c r="P431" s="32">
        <f t="shared" si="33"/>
      </c>
      <c r="Q431" s="33">
        <f t="shared" si="34"/>
      </c>
    </row>
    <row r="432" spans="1:17" x14ac:dyDescent="0.25">
      <c r="A432" s="22"/>
      <c r="B432" s="5"/>
      <c r="C432" s="5"/>
      <c r="D432" s="5"/>
      <c r="E432" s="5"/>
      <c r="F432" s="5"/>
      <c r="G432" s="5"/>
      <c r="H432" s="23"/>
      <c r="I432" s="23"/>
      <c r="J432" s="5"/>
      <c r="K432" s="31">
        <f t="shared" si="30"/>
      </c>
      <c r="L432" s="32">
        <f>IF($A432="","",C432*SUMIFS(Settings!$B$21:$B$25,Settings!$A$21:$A$25,SUMPRODUCT(MAX((Settings!$A$21:$A$25&lt;=$A432)*Settings!$A$21:$A$25)))+D432*SUMIFS(Settings!$C$21:$C$25,Settings!$A$21:$A$25,SUMPRODUCT(MAX((Settings!$A$21:$A$25&lt;=$A432)*Settings!$A$21:$A$25))))</f>
      </c>
      <c r="M432" s="32">
        <f>IF($A432="","",L432*IFERROR(INDEX(Settings!$B$30:$B$36,MATCH($B432,Settings!$A$30:$A$36,0)),0))</f>
      </c>
      <c r="N432" s="32">
        <f t="shared" si="31"/>
      </c>
      <c r="O432" s="33">
        <f t="shared" si="32"/>
      </c>
      <c r="P432" s="32">
        <f t="shared" si="33"/>
      </c>
      <c r="Q432" s="33">
        <f t="shared" si="34"/>
      </c>
    </row>
    <row r="433" spans="1:17" x14ac:dyDescent="0.25">
      <c r="A433" s="22"/>
      <c r="B433" s="5"/>
      <c r="C433" s="5"/>
      <c r="D433" s="5"/>
      <c r="E433" s="5"/>
      <c r="F433" s="5"/>
      <c r="G433" s="5"/>
      <c r="H433" s="23"/>
      <c r="I433" s="23"/>
      <c r="J433" s="5"/>
      <c r="K433" s="31">
        <f t="shared" si="30"/>
      </c>
      <c r="L433" s="32">
        <f>IF($A433="","",C433*SUMIFS(Settings!$B$21:$B$25,Settings!$A$21:$A$25,SUMPRODUCT(MAX((Settings!$A$21:$A$25&lt;=$A433)*Settings!$A$21:$A$25)))+D433*SUMIFS(Settings!$C$21:$C$25,Settings!$A$21:$A$25,SUMPRODUCT(MAX((Settings!$A$21:$A$25&lt;=$A433)*Settings!$A$21:$A$25))))</f>
      </c>
      <c r="M433" s="32">
        <f>IF($A433="","",L433*IFERROR(INDEX(Settings!$B$30:$B$36,MATCH($B433,Settings!$A$30:$A$36,0)),0))</f>
      </c>
      <c r="N433" s="32">
        <f t="shared" si="31"/>
      </c>
      <c r="O433" s="33">
        <f t="shared" si="32"/>
      </c>
      <c r="P433" s="32">
        <f t="shared" si="33"/>
      </c>
      <c r="Q433" s="33">
        <f t="shared" si="34"/>
      </c>
    </row>
    <row r="434" spans="1:17" x14ac:dyDescent="0.25">
      <c r="A434" s="22"/>
      <c r="B434" s="5"/>
      <c r="C434" s="5"/>
      <c r="D434" s="5"/>
      <c r="E434" s="5"/>
      <c r="F434" s="5"/>
      <c r="G434" s="5"/>
      <c r="H434" s="23"/>
      <c r="I434" s="23"/>
      <c r="J434" s="5"/>
      <c r="K434" s="31">
        <f t="shared" si="30"/>
      </c>
      <c r="L434" s="32">
        <f>IF($A434="","",C434*SUMIFS(Settings!$B$21:$B$25,Settings!$A$21:$A$25,SUMPRODUCT(MAX((Settings!$A$21:$A$25&lt;=$A434)*Settings!$A$21:$A$25)))+D434*SUMIFS(Settings!$C$21:$C$25,Settings!$A$21:$A$25,SUMPRODUCT(MAX((Settings!$A$21:$A$25&lt;=$A434)*Settings!$A$21:$A$25))))</f>
      </c>
      <c r="M434" s="32">
        <f>IF($A434="","",L434*IFERROR(INDEX(Settings!$B$30:$B$36,MATCH($B434,Settings!$A$30:$A$36,0)),0))</f>
      </c>
      <c r="N434" s="32">
        <f t="shared" si="31"/>
      </c>
      <c r="O434" s="33">
        <f t="shared" si="32"/>
      </c>
      <c r="P434" s="32">
        <f t="shared" si="33"/>
      </c>
      <c r="Q434" s="33">
        <f t="shared" si="34"/>
      </c>
    </row>
    <row r="435" spans="1:17" x14ac:dyDescent="0.25">
      <c r="A435" s="22"/>
      <c r="B435" s="5"/>
      <c r="C435" s="5"/>
      <c r="D435" s="5"/>
      <c r="E435" s="5"/>
      <c r="F435" s="5"/>
      <c r="G435" s="5"/>
      <c r="H435" s="23"/>
      <c r="I435" s="23"/>
      <c r="J435" s="5"/>
      <c r="K435" s="31">
        <f t="shared" si="30"/>
      </c>
      <c r="L435" s="32">
        <f>IF($A435="","",C435*SUMIFS(Settings!$B$21:$B$25,Settings!$A$21:$A$25,SUMPRODUCT(MAX((Settings!$A$21:$A$25&lt;=$A435)*Settings!$A$21:$A$25)))+D435*SUMIFS(Settings!$C$21:$C$25,Settings!$A$21:$A$25,SUMPRODUCT(MAX((Settings!$A$21:$A$25&lt;=$A435)*Settings!$A$21:$A$25))))</f>
      </c>
      <c r="M435" s="32">
        <f>IF($A435="","",L435*IFERROR(INDEX(Settings!$B$30:$B$36,MATCH($B435,Settings!$A$30:$A$36,0)),0))</f>
      </c>
      <c r="N435" s="32">
        <f t="shared" si="31"/>
      </c>
      <c r="O435" s="33">
        <f t="shared" si="32"/>
      </c>
      <c r="P435" s="32">
        <f t="shared" si="33"/>
      </c>
      <c r="Q435" s="33">
        <f t="shared" si="34"/>
      </c>
    </row>
    <row r="436" spans="1:17" x14ac:dyDescent="0.25">
      <c r="A436" s="22"/>
      <c r="B436" s="5"/>
      <c r="C436" s="5"/>
      <c r="D436" s="5"/>
      <c r="E436" s="5"/>
      <c r="F436" s="5"/>
      <c r="G436" s="5"/>
      <c r="H436" s="23"/>
      <c r="I436" s="23"/>
      <c r="J436" s="5"/>
      <c r="K436" s="31">
        <f t="shared" si="30"/>
      </c>
      <c r="L436" s="32">
        <f>IF($A436="","",C436*SUMIFS(Settings!$B$21:$B$25,Settings!$A$21:$A$25,SUMPRODUCT(MAX((Settings!$A$21:$A$25&lt;=$A436)*Settings!$A$21:$A$25)))+D436*SUMIFS(Settings!$C$21:$C$25,Settings!$A$21:$A$25,SUMPRODUCT(MAX((Settings!$A$21:$A$25&lt;=$A436)*Settings!$A$21:$A$25))))</f>
      </c>
      <c r="M436" s="32">
        <f>IF($A436="","",L436*IFERROR(INDEX(Settings!$B$30:$B$36,MATCH($B436,Settings!$A$30:$A$36,0)),0))</f>
      </c>
      <c r="N436" s="32">
        <f t="shared" si="31"/>
      </c>
      <c r="O436" s="33">
        <f t="shared" si="32"/>
      </c>
      <c r="P436" s="32">
        <f t="shared" si="33"/>
      </c>
      <c r="Q436" s="33">
        <f t="shared" si="34"/>
      </c>
    </row>
    <row r="437" spans="1:17" x14ac:dyDescent="0.25">
      <c r="A437" s="22"/>
      <c r="B437" s="5"/>
      <c r="C437" s="5"/>
      <c r="D437" s="5"/>
      <c r="E437" s="5"/>
      <c r="F437" s="5"/>
      <c r="G437" s="5"/>
      <c r="H437" s="23"/>
      <c r="I437" s="23"/>
      <c r="J437" s="5"/>
      <c r="K437" s="31">
        <f t="shared" si="30"/>
      </c>
      <c r="L437" s="32">
        <f>IF($A437="","",C437*SUMIFS(Settings!$B$21:$B$25,Settings!$A$21:$A$25,SUMPRODUCT(MAX((Settings!$A$21:$A$25&lt;=$A437)*Settings!$A$21:$A$25)))+D437*SUMIFS(Settings!$C$21:$C$25,Settings!$A$21:$A$25,SUMPRODUCT(MAX((Settings!$A$21:$A$25&lt;=$A437)*Settings!$A$21:$A$25))))</f>
      </c>
      <c r="M437" s="32">
        <f>IF($A437="","",L437*IFERROR(INDEX(Settings!$B$30:$B$36,MATCH($B437,Settings!$A$30:$A$36,0)),0))</f>
      </c>
      <c r="N437" s="32">
        <f t="shared" si="31"/>
      </c>
      <c r="O437" s="33">
        <f t="shared" si="32"/>
      </c>
      <c r="P437" s="32">
        <f t="shared" si="33"/>
      </c>
      <c r="Q437" s="33">
        <f t="shared" si="34"/>
      </c>
    </row>
    <row r="438" spans="1:17" x14ac:dyDescent="0.25">
      <c r="A438" s="22"/>
      <c r="B438" s="5"/>
      <c r="C438" s="5"/>
      <c r="D438" s="5"/>
      <c r="E438" s="5"/>
      <c r="F438" s="5"/>
      <c r="G438" s="5"/>
      <c r="H438" s="23"/>
      <c r="I438" s="23"/>
      <c r="J438" s="5"/>
      <c r="K438" s="31">
        <f t="shared" si="30"/>
      </c>
      <c r="L438" s="32">
        <f>IF($A438="","",C438*SUMIFS(Settings!$B$21:$B$25,Settings!$A$21:$A$25,SUMPRODUCT(MAX((Settings!$A$21:$A$25&lt;=$A438)*Settings!$A$21:$A$25)))+D438*SUMIFS(Settings!$C$21:$C$25,Settings!$A$21:$A$25,SUMPRODUCT(MAX((Settings!$A$21:$A$25&lt;=$A438)*Settings!$A$21:$A$25))))</f>
      </c>
      <c r="M438" s="32">
        <f>IF($A438="","",L438*IFERROR(INDEX(Settings!$B$30:$B$36,MATCH($B438,Settings!$A$30:$A$36,0)),0))</f>
      </c>
      <c r="N438" s="32">
        <f t="shared" si="31"/>
      </c>
      <c r="O438" s="33">
        <f t="shared" si="32"/>
      </c>
      <c r="P438" s="32">
        <f t="shared" si="33"/>
      </c>
      <c r="Q438" s="33">
        <f t="shared" si="34"/>
      </c>
    </row>
    <row r="439" spans="1:17" x14ac:dyDescent="0.25">
      <c r="A439" s="22"/>
      <c r="B439" s="5"/>
      <c r="C439" s="5"/>
      <c r="D439" s="5"/>
      <c r="E439" s="5"/>
      <c r="F439" s="5"/>
      <c r="G439" s="5"/>
      <c r="H439" s="23"/>
      <c r="I439" s="23"/>
      <c r="J439" s="5"/>
      <c r="K439" s="31">
        <f t="shared" si="30"/>
      </c>
      <c r="L439" s="32">
        <f>IF($A439="","",C439*SUMIFS(Settings!$B$21:$B$25,Settings!$A$21:$A$25,SUMPRODUCT(MAX((Settings!$A$21:$A$25&lt;=$A439)*Settings!$A$21:$A$25)))+D439*SUMIFS(Settings!$C$21:$C$25,Settings!$A$21:$A$25,SUMPRODUCT(MAX((Settings!$A$21:$A$25&lt;=$A439)*Settings!$A$21:$A$25))))</f>
      </c>
      <c r="M439" s="32">
        <f>IF($A439="","",L439*IFERROR(INDEX(Settings!$B$30:$B$36,MATCH($B439,Settings!$A$30:$A$36,0)),0))</f>
      </c>
      <c r="N439" s="32">
        <f t="shared" si="31"/>
      </c>
      <c r="O439" s="33">
        <f t="shared" si="32"/>
      </c>
      <c r="P439" s="32">
        <f t="shared" si="33"/>
      </c>
      <c r="Q439" s="33">
        <f t="shared" si="34"/>
      </c>
    </row>
    <row r="440" spans="1:17" x14ac:dyDescent="0.25">
      <c r="A440" s="22"/>
      <c r="B440" s="5"/>
      <c r="C440" s="5"/>
      <c r="D440" s="5"/>
      <c r="E440" s="5"/>
      <c r="F440" s="5"/>
      <c r="G440" s="5"/>
      <c r="H440" s="23"/>
      <c r="I440" s="23"/>
      <c r="J440" s="5"/>
      <c r="K440" s="31">
        <f t="shared" si="30"/>
      </c>
      <c r="L440" s="32">
        <f>IF($A440="","",C440*SUMIFS(Settings!$B$21:$B$25,Settings!$A$21:$A$25,SUMPRODUCT(MAX((Settings!$A$21:$A$25&lt;=$A440)*Settings!$A$21:$A$25)))+D440*SUMIFS(Settings!$C$21:$C$25,Settings!$A$21:$A$25,SUMPRODUCT(MAX((Settings!$A$21:$A$25&lt;=$A440)*Settings!$A$21:$A$25))))</f>
      </c>
      <c r="M440" s="32">
        <f>IF($A440="","",L440*IFERROR(INDEX(Settings!$B$30:$B$36,MATCH($B440,Settings!$A$30:$A$36,0)),0))</f>
      </c>
      <c r="N440" s="32">
        <f t="shared" si="31"/>
      </c>
      <c r="O440" s="33">
        <f t="shared" si="32"/>
      </c>
      <c r="P440" s="32">
        <f t="shared" si="33"/>
      </c>
      <c r="Q440" s="33">
        <f t="shared" si="34"/>
      </c>
    </row>
    <row r="441" spans="1:17" x14ac:dyDescent="0.25">
      <c r="A441" s="22"/>
      <c r="B441" s="5"/>
      <c r="C441" s="5"/>
      <c r="D441" s="5"/>
      <c r="E441" s="5"/>
      <c r="F441" s="5"/>
      <c r="G441" s="5"/>
      <c r="H441" s="23"/>
      <c r="I441" s="23"/>
      <c r="J441" s="5"/>
      <c r="K441" s="31">
        <f t="shared" si="30"/>
      </c>
      <c r="L441" s="32">
        <f>IF($A441="","",C441*SUMIFS(Settings!$B$21:$B$25,Settings!$A$21:$A$25,SUMPRODUCT(MAX((Settings!$A$21:$A$25&lt;=$A441)*Settings!$A$21:$A$25)))+D441*SUMIFS(Settings!$C$21:$C$25,Settings!$A$21:$A$25,SUMPRODUCT(MAX((Settings!$A$21:$A$25&lt;=$A441)*Settings!$A$21:$A$25))))</f>
      </c>
      <c r="M441" s="32">
        <f>IF($A441="","",L441*IFERROR(INDEX(Settings!$B$30:$B$36,MATCH($B441,Settings!$A$30:$A$36,0)),0))</f>
      </c>
      <c r="N441" s="32">
        <f t="shared" si="31"/>
      </c>
      <c r="O441" s="33">
        <f t="shared" si="32"/>
      </c>
      <c r="P441" s="32">
        <f t="shared" si="33"/>
      </c>
      <c r="Q441" s="33">
        <f t="shared" si="34"/>
      </c>
    </row>
    <row r="442" spans="1:17" x14ac:dyDescent="0.25">
      <c r="A442" s="22"/>
      <c r="B442" s="5"/>
      <c r="C442" s="5"/>
      <c r="D442" s="5"/>
      <c r="E442" s="5"/>
      <c r="F442" s="5"/>
      <c r="G442" s="5"/>
      <c r="H442" s="23"/>
      <c r="I442" s="23"/>
      <c r="J442" s="5"/>
      <c r="K442" s="31">
        <f t="shared" si="30"/>
      </c>
      <c r="L442" s="32">
        <f>IF($A442="","",C442*SUMIFS(Settings!$B$21:$B$25,Settings!$A$21:$A$25,SUMPRODUCT(MAX((Settings!$A$21:$A$25&lt;=$A442)*Settings!$A$21:$A$25)))+D442*SUMIFS(Settings!$C$21:$C$25,Settings!$A$21:$A$25,SUMPRODUCT(MAX((Settings!$A$21:$A$25&lt;=$A442)*Settings!$A$21:$A$25))))</f>
      </c>
      <c r="M442" s="32">
        <f>IF($A442="","",L442*IFERROR(INDEX(Settings!$B$30:$B$36,MATCH($B442,Settings!$A$30:$A$36,0)),0))</f>
      </c>
      <c r="N442" s="32">
        <f t="shared" si="31"/>
      </c>
      <c r="O442" s="33">
        <f t="shared" si="32"/>
      </c>
      <c r="P442" s="32">
        <f t="shared" si="33"/>
      </c>
      <c r="Q442" s="33">
        <f t="shared" si="34"/>
      </c>
    </row>
    <row r="443" spans="1:17" x14ac:dyDescent="0.25">
      <c r="A443" s="22"/>
      <c r="B443" s="5"/>
      <c r="C443" s="5"/>
      <c r="D443" s="5"/>
      <c r="E443" s="5"/>
      <c r="F443" s="5"/>
      <c r="G443" s="5"/>
      <c r="H443" s="23"/>
      <c r="I443" s="23"/>
      <c r="J443" s="5"/>
      <c r="K443" s="31">
        <f t="shared" si="30"/>
      </c>
      <c r="L443" s="32">
        <f>IF($A443="","",C443*SUMIFS(Settings!$B$21:$B$25,Settings!$A$21:$A$25,SUMPRODUCT(MAX((Settings!$A$21:$A$25&lt;=$A443)*Settings!$A$21:$A$25)))+D443*SUMIFS(Settings!$C$21:$C$25,Settings!$A$21:$A$25,SUMPRODUCT(MAX((Settings!$A$21:$A$25&lt;=$A443)*Settings!$A$21:$A$25))))</f>
      </c>
      <c r="M443" s="32">
        <f>IF($A443="","",L443*IFERROR(INDEX(Settings!$B$30:$B$36,MATCH($B443,Settings!$A$30:$A$36,0)),0))</f>
      </c>
      <c r="N443" s="32">
        <f t="shared" si="31"/>
      </c>
      <c r="O443" s="33">
        <f t="shared" si="32"/>
      </c>
      <c r="P443" s="32">
        <f t="shared" si="33"/>
      </c>
      <c r="Q443" s="33">
        <f t="shared" si="34"/>
      </c>
    </row>
    <row r="444" spans="1:17" x14ac:dyDescent="0.25">
      <c r="A444" s="22"/>
      <c r="B444" s="5"/>
      <c r="C444" s="5"/>
      <c r="D444" s="5"/>
      <c r="E444" s="5"/>
      <c r="F444" s="5"/>
      <c r="G444" s="5"/>
      <c r="H444" s="23"/>
      <c r="I444" s="23"/>
      <c r="J444" s="5"/>
      <c r="K444" s="31">
        <f t="shared" si="30"/>
      </c>
      <c r="L444" s="32">
        <f>IF($A444="","",C444*SUMIFS(Settings!$B$21:$B$25,Settings!$A$21:$A$25,SUMPRODUCT(MAX((Settings!$A$21:$A$25&lt;=$A444)*Settings!$A$21:$A$25)))+D444*SUMIFS(Settings!$C$21:$C$25,Settings!$A$21:$A$25,SUMPRODUCT(MAX((Settings!$A$21:$A$25&lt;=$A444)*Settings!$A$21:$A$25))))</f>
      </c>
      <c r="M444" s="32">
        <f>IF($A444="","",L444*IFERROR(INDEX(Settings!$B$30:$B$36,MATCH($B444,Settings!$A$30:$A$36,0)),0))</f>
      </c>
      <c r="N444" s="32">
        <f t="shared" si="31"/>
      </c>
      <c r="O444" s="33">
        <f t="shared" si="32"/>
      </c>
      <c r="P444" s="32">
        <f t="shared" si="33"/>
      </c>
      <c r="Q444" s="33">
        <f t="shared" si="34"/>
      </c>
    </row>
    <row r="445" spans="1:17" x14ac:dyDescent="0.25">
      <c r="A445" s="22"/>
      <c r="B445" s="5"/>
      <c r="C445" s="5"/>
      <c r="D445" s="5"/>
      <c r="E445" s="5"/>
      <c r="F445" s="5"/>
      <c r="G445" s="5"/>
      <c r="H445" s="23"/>
      <c r="I445" s="23"/>
      <c r="J445" s="5"/>
      <c r="K445" s="31">
        <f t="shared" si="30"/>
      </c>
      <c r="L445" s="32">
        <f>IF($A445="","",C445*SUMIFS(Settings!$B$21:$B$25,Settings!$A$21:$A$25,SUMPRODUCT(MAX((Settings!$A$21:$A$25&lt;=$A445)*Settings!$A$21:$A$25)))+D445*SUMIFS(Settings!$C$21:$C$25,Settings!$A$21:$A$25,SUMPRODUCT(MAX((Settings!$A$21:$A$25&lt;=$A445)*Settings!$A$21:$A$25))))</f>
      </c>
      <c r="M445" s="32">
        <f>IF($A445="","",L445*IFERROR(INDEX(Settings!$B$30:$B$36,MATCH($B445,Settings!$A$30:$A$36,0)),0))</f>
      </c>
      <c r="N445" s="32">
        <f t="shared" si="31"/>
      </c>
      <c r="O445" s="33">
        <f t="shared" si="32"/>
      </c>
      <c r="P445" s="32">
        <f t="shared" si="33"/>
      </c>
      <c r="Q445" s="33">
        <f t="shared" si="34"/>
      </c>
    </row>
    <row r="446" spans="1:17" x14ac:dyDescent="0.25">
      <c r="A446" s="22"/>
      <c r="B446" s="5"/>
      <c r="C446" s="5"/>
      <c r="D446" s="5"/>
      <c r="E446" s="5"/>
      <c r="F446" s="5"/>
      <c r="G446" s="5"/>
      <c r="H446" s="23"/>
      <c r="I446" s="23"/>
      <c r="J446" s="5"/>
      <c r="K446" s="31">
        <f t="shared" si="30"/>
      </c>
      <c r="L446" s="32">
        <f>IF($A446="","",C446*SUMIFS(Settings!$B$21:$B$25,Settings!$A$21:$A$25,SUMPRODUCT(MAX((Settings!$A$21:$A$25&lt;=$A446)*Settings!$A$21:$A$25)))+D446*SUMIFS(Settings!$C$21:$C$25,Settings!$A$21:$A$25,SUMPRODUCT(MAX((Settings!$A$21:$A$25&lt;=$A446)*Settings!$A$21:$A$25))))</f>
      </c>
      <c r="M446" s="32">
        <f>IF($A446="","",L446*IFERROR(INDEX(Settings!$B$30:$B$36,MATCH($B446,Settings!$A$30:$A$36,0)),0))</f>
      </c>
      <c r="N446" s="32">
        <f t="shared" si="31"/>
      </c>
      <c r="O446" s="33">
        <f t="shared" si="32"/>
      </c>
      <c r="P446" s="32">
        <f t="shared" si="33"/>
      </c>
      <c r="Q446" s="33">
        <f t="shared" si="34"/>
      </c>
    </row>
    <row r="447" spans="1:17" x14ac:dyDescent="0.25">
      <c r="A447" s="22"/>
      <c r="B447" s="5"/>
      <c r="C447" s="5"/>
      <c r="D447" s="5"/>
      <c r="E447" s="5"/>
      <c r="F447" s="5"/>
      <c r="G447" s="5"/>
      <c r="H447" s="23"/>
      <c r="I447" s="23"/>
      <c r="J447" s="5"/>
      <c r="K447" s="31">
        <f t="shared" si="30"/>
      </c>
      <c r="L447" s="32">
        <f>IF($A447="","",C447*SUMIFS(Settings!$B$21:$B$25,Settings!$A$21:$A$25,SUMPRODUCT(MAX((Settings!$A$21:$A$25&lt;=$A447)*Settings!$A$21:$A$25)))+D447*SUMIFS(Settings!$C$21:$C$25,Settings!$A$21:$A$25,SUMPRODUCT(MAX((Settings!$A$21:$A$25&lt;=$A447)*Settings!$A$21:$A$25))))</f>
      </c>
      <c r="M447" s="32">
        <f>IF($A447="","",L447*IFERROR(INDEX(Settings!$B$30:$B$36,MATCH($B447,Settings!$A$30:$A$36,0)),0))</f>
      </c>
      <c r="N447" s="32">
        <f t="shared" si="31"/>
      </c>
      <c r="O447" s="33">
        <f t="shared" si="32"/>
      </c>
      <c r="P447" s="32">
        <f t="shared" si="33"/>
      </c>
      <c r="Q447" s="33">
        <f t="shared" si="34"/>
      </c>
    </row>
    <row r="448" spans="1:17" x14ac:dyDescent="0.25">
      <c r="A448" s="22"/>
      <c r="B448" s="5"/>
      <c r="C448" s="5"/>
      <c r="D448" s="5"/>
      <c r="E448" s="5"/>
      <c r="F448" s="5"/>
      <c r="G448" s="5"/>
      <c r="H448" s="23"/>
      <c r="I448" s="23"/>
      <c r="J448" s="5"/>
      <c r="K448" s="31">
        <f t="shared" si="30"/>
      </c>
      <c r="L448" s="32">
        <f>IF($A448="","",C448*SUMIFS(Settings!$B$21:$B$25,Settings!$A$21:$A$25,SUMPRODUCT(MAX((Settings!$A$21:$A$25&lt;=$A448)*Settings!$A$21:$A$25)))+D448*SUMIFS(Settings!$C$21:$C$25,Settings!$A$21:$A$25,SUMPRODUCT(MAX((Settings!$A$21:$A$25&lt;=$A448)*Settings!$A$21:$A$25))))</f>
      </c>
      <c r="M448" s="32">
        <f>IF($A448="","",L448*IFERROR(INDEX(Settings!$B$30:$B$36,MATCH($B448,Settings!$A$30:$A$36,0)),0))</f>
      </c>
      <c r="N448" s="32">
        <f t="shared" si="31"/>
      </c>
      <c r="O448" s="33">
        <f t="shared" si="32"/>
      </c>
      <c r="P448" s="32">
        <f t="shared" si="33"/>
      </c>
      <c r="Q448" s="33">
        <f t="shared" si="34"/>
      </c>
    </row>
    <row r="449" spans="1:17" x14ac:dyDescent="0.25">
      <c r="A449" s="22"/>
      <c r="B449" s="5"/>
      <c r="C449" s="5"/>
      <c r="D449" s="5"/>
      <c r="E449" s="5"/>
      <c r="F449" s="5"/>
      <c r="G449" s="5"/>
      <c r="H449" s="23"/>
      <c r="I449" s="23"/>
      <c r="J449" s="5"/>
      <c r="K449" s="31">
        <f t="shared" si="30"/>
      </c>
      <c r="L449" s="32">
        <f>IF($A449="","",C449*SUMIFS(Settings!$B$21:$B$25,Settings!$A$21:$A$25,SUMPRODUCT(MAX((Settings!$A$21:$A$25&lt;=$A449)*Settings!$A$21:$A$25)))+D449*SUMIFS(Settings!$C$21:$C$25,Settings!$A$21:$A$25,SUMPRODUCT(MAX((Settings!$A$21:$A$25&lt;=$A449)*Settings!$A$21:$A$25))))</f>
      </c>
      <c r="M449" s="32">
        <f>IF($A449="","",L449*IFERROR(INDEX(Settings!$B$30:$B$36,MATCH($B449,Settings!$A$30:$A$36,0)),0))</f>
      </c>
      <c r="N449" s="32">
        <f t="shared" si="31"/>
      </c>
      <c r="O449" s="33">
        <f t="shared" si="32"/>
      </c>
      <c r="P449" s="32">
        <f t="shared" si="33"/>
      </c>
      <c r="Q449" s="33">
        <f t="shared" si="34"/>
      </c>
    </row>
    <row r="450" spans="1:17" x14ac:dyDescent="0.25">
      <c r="A450" s="22"/>
      <c r="B450" s="5"/>
      <c r="C450" s="5"/>
      <c r="D450" s="5"/>
      <c r="E450" s="5"/>
      <c r="F450" s="5"/>
      <c r="G450" s="5"/>
      <c r="H450" s="23"/>
      <c r="I450" s="23"/>
      <c r="J450" s="5"/>
      <c r="K450" s="31">
        <f t="shared" si="30"/>
      </c>
      <c r="L450" s="32">
        <f>IF($A450="","",C450*SUMIFS(Settings!$B$21:$B$25,Settings!$A$21:$A$25,SUMPRODUCT(MAX((Settings!$A$21:$A$25&lt;=$A450)*Settings!$A$21:$A$25)))+D450*SUMIFS(Settings!$C$21:$C$25,Settings!$A$21:$A$25,SUMPRODUCT(MAX((Settings!$A$21:$A$25&lt;=$A450)*Settings!$A$21:$A$25))))</f>
      </c>
      <c r="M450" s="32">
        <f>IF($A450="","",L450*IFERROR(INDEX(Settings!$B$30:$B$36,MATCH($B450,Settings!$A$30:$A$36,0)),0))</f>
      </c>
      <c r="N450" s="32">
        <f t="shared" si="31"/>
      </c>
      <c r="O450" s="33">
        <f t="shared" si="32"/>
      </c>
      <c r="P450" s="32">
        <f t="shared" si="33"/>
      </c>
      <c r="Q450" s="33">
        <f t="shared" si="34"/>
      </c>
    </row>
    <row r="451" spans="1:17" x14ac:dyDescent="0.25">
      <c r="A451" s="22"/>
      <c r="B451" s="5"/>
      <c r="C451" s="5"/>
      <c r="D451" s="5"/>
      <c r="E451" s="5"/>
      <c r="F451" s="5"/>
      <c r="G451" s="5"/>
      <c r="H451" s="23"/>
      <c r="I451" s="23"/>
      <c r="J451" s="5"/>
      <c r="K451" s="31">
        <f t="shared" si="30"/>
      </c>
      <c r="L451" s="32">
        <f>IF($A451="","",C451*SUMIFS(Settings!$B$21:$B$25,Settings!$A$21:$A$25,SUMPRODUCT(MAX((Settings!$A$21:$A$25&lt;=$A451)*Settings!$A$21:$A$25)))+D451*SUMIFS(Settings!$C$21:$C$25,Settings!$A$21:$A$25,SUMPRODUCT(MAX((Settings!$A$21:$A$25&lt;=$A451)*Settings!$A$21:$A$25))))</f>
      </c>
      <c r="M451" s="32">
        <f>IF($A451="","",L451*IFERROR(INDEX(Settings!$B$30:$B$36,MATCH($B451,Settings!$A$30:$A$36,0)),0))</f>
      </c>
      <c r="N451" s="32">
        <f t="shared" si="31"/>
      </c>
      <c r="O451" s="33">
        <f t="shared" si="32"/>
      </c>
      <c r="P451" s="32">
        <f t="shared" si="33"/>
      </c>
      <c r="Q451" s="33">
        <f t="shared" si="34"/>
      </c>
    </row>
    <row r="452" spans="1:17" x14ac:dyDescent="0.25">
      <c r="A452" s="22"/>
      <c r="B452" s="5"/>
      <c r="C452" s="5"/>
      <c r="D452" s="5"/>
      <c r="E452" s="5"/>
      <c r="F452" s="5"/>
      <c r="G452" s="5"/>
      <c r="H452" s="23"/>
      <c r="I452" s="23"/>
      <c r="J452" s="5"/>
      <c r="K452" s="31">
        <f t="shared" si="30"/>
      </c>
      <c r="L452" s="32">
        <f>IF($A452="","",C452*SUMIFS(Settings!$B$21:$B$25,Settings!$A$21:$A$25,SUMPRODUCT(MAX((Settings!$A$21:$A$25&lt;=$A452)*Settings!$A$21:$A$25)))+D452*SUMIFS(Settings!$C$21:$C$25,Settings!$A$21:$A$25,SUMPRODUCT(MAX((Settings!$A$21:$A$25&lt;=$A452)*Settings!$A$21:$A$25))))</f>
      </c>
      <c r="M452" s="32">
        <f>IF($A452="","",L452*IFERROR(INDEX(Settings!$B$30:$B$36,MATCH($B452,Settings!$A$30:$A$36,0)),0))</f>
      </c>
      <c r="N452" s="32">
        <f t="shared" si="31"/>
      </c>
      <c r="O452" s="33">
        <f t="shared" si="32"/>
      </c>
      <c r="P452" s="32">
        <f t="shared" si="33"/>
      </c>
      <c r="Q452" s="33">
        <f t="shared" si="34"/>
      </c>
    </row>
    <row r="453" spans="1:17" x14ac:dyDescent="0.25">
      <c r="A453" s="22"/>
      <c r="B453" s="5"/>
      <c r="C453" s="5"/>
      <c r="D453" s="5"/>
      <c r="E453" s="5"/>
      <c r="F453" s="5"/>
      <c r="G453" s="5"/>
      <c r="H453" s="23"/>
      <c r="I453" s="23"/>
      <c r="J453" s="5"/>
      <c r="K453" s="31">
        <f t="shared" si="30"/>
      </c>
      <c r="L453" s="32">
        <f>IF($A453="","",C453*SUMIFS(Settings!$B$21:$B$25,Settings!$A$21:$A$25,SUMPRODUCT(MAX((Settings!$A$21:$A$25&lt;=$A453)*Settings!$A$21:$A$25)))+D453*SUMIFS(Settings!$C$21:$C$25,Settings!$A$21:$A$25,SUMPRODUCT(MAX((Settings!$A$21:$A$25&lt;=$A453)*Settings!$A$21:$A$25))))</f>
      </c>
      <c r="M453" s="32">
        <f>IF($A453="","",L453*IFERROR(INDEX(Settings!$B$30:$B$36,MATCH($B453,Settings!$A$30:$A$36,0)),0))</f>
      </c>
      <c r="N453" s="32">
        <f t="shared" si="31"/>
      </c>
      <c r="O453" s="33">
        <f t="shared" si="32"/>
      </c>
      <c r="P453" s="32">
        <f t="shared" si="33"/>
      </c>
      <c r="Q453" s="33">
        <f t="shared" si="34"/>
      </c>
    </row>
    <row r="454" spans="1:17" x14ac:dyDescent="0.25">
      <c r="A454" s="22"/>
      <c r="B454" s="5"/>
      <c r="C454" s="5"/>
      <c r="D454" s="5"/>
      <c r="E454" s="5"/>
      <c r="F454" s="5"/>
      <c r="G454" s="5"/>
      <c r="H454" s="23"/>
      <c r="I454" s="23"/>
      <c r="J454" s="5"/>
      <c r="K454" s="31">
        <f t="shared" ref="K454:K517" si="35">IF($A454="","",C454+D454)</f>
      </c>
      <c r="L454" s="32">
        <f>IF($A454="","",C454*SUMIFS(Settings!$B$21:$B$25,Settings!$A$21:$A$25,SUMPRODUCT(MAX((Settings!$A$21:$A$25&lt;=$A454)*Settings!$A$21:$A$25)))+D454*SUMIFS(Settings!$C$21:$C$25,Settings!$A$21:$A$25,SUMPRODUCT(MAX((Settings!$A$21:$A$25&lt;=$A454)*Settings!$A$21:$A$25))))</f>
      </c>
      <c r="M454" s="32">
        <f>IF($A454="","",L454*IFERROR(INDEX(Settings!$B$30:$B$36,MATCH($B454,Settings!$A$30:$A$36,0)),0))</f>
      </c>
      <c r="N454" s="32">
        <f t="shared" ref="N454:N517" si="36">IF(OR($A454="",F454="",G454=""),"",(F454-G454)-(K454+E454))</f>
      </c>
      <c r="O454" s="33">
        <f t="shared" ref="O454:O517" si="37">IF(N454="","",IF(N454=0,"OK","CHECK"))</f>
      </c>
      <c r="P454" s="32">
        <f t="shared" ref="P454:P517" si="38">IF(OR($A454="",AND(H454="",I454="")),"",H454+I454-L454)</f>
      </c>
      <c r="Q454" s="33">
        <f t="shared" ref="Q454:Q517" si="39">IF(P454="","",IF(P454=0,"OK","CHECK"))</f>
      </c>
    </row>
    <row r="455" spans="1:17" x14ac:dyDescent="0.25">
      <c r="A455" s="22"/>
      <c r="B455" s="5"/>
      <c r="C455" s="5"/>
      <c r="D455" s="5"/>
      <c r="E455" s="5"/>
      <c r="F455" s="5"/>
      <c r="G455" s="5"/>
      <c r="H455" s="23"/>
      <c r="I455" s="23"/>
      <c r="J455" s="5"/>
      <c r="K455" s="31">
        <f t="shared" si="35"/>
      </c>
      <c r="L455" s="32">
        <f>IF($A455="","",C455*SUMIFS(Settings!$B$21:$B$25,Settings!$A$21:$A$25,SUMPRODUCT(MAX((Settings!$A$21:$A$25&lt;=$A455)*Settings!$A$21:$A$25)))+D455*SUMIFS(Settings!$C$21:$C$25,Settings!$A$21:$A$25,SUMPRODUCT(MAX((Settings!$A$21:$A$25&lt;=$A455)*Settings!$A$21:$A$25))))</f>
      </c>
      <c r="M455" s="32">
        <f>IF($A455="","",L455*IFERROR(INDEX(Settings!$B$30:$B$36,MATCH($B455,Settings!$A$30:$A$36,0)),0))</f>
      </c>
      <c r="N455" s="32">
        <f t="shared" si="36"/>
      </c>
      <c r="O455" s="33">
        <f t="shared" si="37"/>
      </c>
      <c r="P455" s="32">
        <f t="shared" si="38"/>
      </c>
      <c r="Q455" s="33">
        <f t="shared" si="39"/>
      </c>
    </row>
    <row r="456" spans="1:17" x14ac:dyDescent="0.25">
      <c r="A456" s="22"/>
      <c r="B456" s="5"/>
      <c r="C456" s="5"/>
      <c r="D456" s="5"/>
      <c r="E456" s="5"/>
      <c r="F456" s="5"/>
      <c r="G456" s="5"/>
      <c r="H456" s="23"/>
      <c r="I456" s="23"/>
      <c r="J456" s="5"/>
      <c r="K456" s="31">
        <f t="shared" si="35"/>
      </c>
      <c r="L456" s="32">
        <f>IF($A456="","",C456*SUMIFS(Settings!$B$21:$B$25,Settings!$A$21:$A$25,SUMPRODUCT(MAX((Settings!$A$21:$A$25&lt;=$A456)*Settings!$A$21:$A$25)))+D456*SUMIFS(Settings!$C$21:$C$25,Settings!$A$21:$A$25,SUMPRODUCT(MAX((Settings!$A$21:$A$25&lt;=$A456)*Settings!$A$21:$A$25))))</f>
      </c>
      <c r="M456" s="32">
        <f>IF($A456="","",L456*IFERROR(INDEX(Settings!$B$30:$B$36,MATCH($B456,Settings!$A$30:$A$36,0)),0))</f>
      </c>
      <c r="N456" s="32">
        <f t="shared" si="36"/>
      </c>
      <c r="O456" s="33">
        <f t="shared" si="37"/>
      </c>
      <c r="P456" s="32">
        <f t="shared" si="38"/>
      </c>
      <c r="Q456" s="33">
        <f t="shared" si="39"/>
      </c>
    </row>
    <row r="457" spans="1:17" x14ac:dyDescent="0.25">
      <c r="A457" s="22"/>
      <c r="B457" s="5"/>
      <c r="C457" s="5"/>
      <c r="D457" s="5"/>
      <c r="E457" s="5"/>
      <c r="F457" s="5"/>
      <c r="G457" s="5"/>
      <c r="H457" s="23"/>
      <c r="I457" s="23"/>
      <c r="J457" s="5"/>
      <c r="K457" s="31">
        <f t="shared" si="35"/>
      </c>
      <c r="L457" s="32">
        <f>IF($A457="","",C457*SUMIFS(Settings!$B$21:$B$25,Settings!$A$21:$A$25,SUMPRODUCT(MAX((Settings!$A$21:$A$25&lt;=$A457)*Settings!$A$21:$A$25)))+D457*SUMIFS(Settings!$C$21:$C$25,Settings!$A$21:$A$25,SUMPRODUCT(MAX((Settings!$A$21:$A$25&lt;=$A457)*Settings!$A$21:$A$25))))</f>
      </c>
      <c r="M457" s="32">
        <f>IF($A457="","",L457*IFERROR(INDEX(Settings!$B$30:$B$36,MATCH($B457,Settings!$A$30:$A$36,0)),0))</f>
      </c>
      <c r="N457" s="32">
        <f t="shared" si="36"/>
      </c>
      <c r="O457" s="33">
        <f t="shared" si="37"/>
      </c>
      <c r="P457" s="32">
        <f t="shared" si="38"/>
      </c>
      <c r="Q457" s="33">
        <f t="shared" si="39"/>
      </c>
    </row>
    <row r="458" spans="1:17" x14ac:dyDescent="0.25">
      <c r="A458" s="22"/>
      <c r="B458" s="5"/>
      <c r="C458" s="5"/>
      <c r="D458" s="5"/>
      <c r="E458" s="5"/>
      <c r="F458" s="5"/>
      <c r="G458" s="5"/>
      <c r="H458" s="23"/>
      <c r="I458" s="23"/>
      <c r="J458" s="5"/>
      <c r="K458" s="31">
        <f t="shared" si="35"/>
      </c>
      <c r="L458" s="32">
        <f>IF($A458="","",C458*SUMIFS(Settings!$B$21:$B$25,Settings!$A$21:$A$25,SUMPRODUCT(MAX((Settings!$A$21:$A$25&lt;=$A458)*Settings!$A$21:$A$25)))+D458*SUMIFS(Settings!$C$21:$C$25,Settings!$A$21:$A$25,SUMPRODUCT(MAX((Settings!$A$21:$A$25&lt;=$A458)*Settings!$A$21:$A$25))))</f>
      </c>
      <c r="M458" s="32">
        <f>IF($A458="","",L458*IFERROR(INDEX(Settings!$B$30:$B$36,MATCH($B458,Settings!$A$30:$A$36,0)),0))</f>
      </c>
      <c r="N458" s="32">
        <f t="shared" si="36"/>
      </c>
      <c r="O458" s="33">
        <f t="shared" si="37"/>
      </c>
      <c r="P458" s="32">
        <f t="shared" si="38"/>
      </c>
      <c r="Q458" s="33">
        <f t="shared" si="39"/>
      </c>
    </row>
    <row r="459" spans="1:17" x14ac:dyDescent="0.25">
      <c r="A459" s="22"/>
      <c r="B459" s="5"/>
      <c r="C459" s="5"/>
      <c r="D459" s="5"/>
      <c r="E459" s="5"/>
      <c r="F459" s="5"/>
      <c r="G459" s="5"/>
      <c r="H459" s="23"/>
      <c r="I459" s="23"/>
      <c r="J459" s="5"/>
      <c r="K459" s="31">
        <f t="shared" si="35"/>
      </c>
      <c r="L459" s="32">
        <f>IF($A459="","",C459*SUMIFS(Settings!$B$21:$B$25,Settings!$A$21:$A$25,SUMPRODUCT(MAX((Settings!$A$21:$A$25&lt;=$A459)*Settings!$A$21:$A$25)))+D459*SUMIFS(Settings!$C$21:$C$25,Settings!$A$21:$A$25,SUMPRODUCT(MAX((Settings!$A$21:$A$25&lt;=$A459)*Settings!$A$21:$A$25))))</f>
      </c>
      <c r="M459" s="32">
        <f>IF($A459="","",L459*IFERROR(INDEX(Settings!$B$30:$B$36,MATCH($B459,Settings!$A$30:$A$36,0)),0))</f>
      </c>
      <c r="N459" s="32">
        <f t="shared" si="36"/>
      </c>
      <c r="O459" s="33">
        <f t="shared" si="37"/>
      </c>
      <c r="P459" s="32">
        <f t="shared" si="38"/>
      </c>
      <c r="Q459" s="33">
        <f t="shared" si="39"/>
      </c>
    </row>
    <row r="460" spans="1:17" x14ac:dyDescent="0.25">
      <c r="A460" s="22"/>
      <c r="B460" s="5"/>
      <c r="C460" s="5"/>
      <c r="D460" s="5"/>
      <c r="E460" s="5"/>
      <c r="F460" s="5"/>
      <c r="G460" s="5"/>
      <c r="H460" s="23"/>
      <c r="I460" s="23"/>
      <c r="J460" s="5"/>
      <c r="K460" s="31">
        <f t="shared" si="35"/>
      </c>
      <c r="L460" s="32">
        <f>IF($A460="","",C460*SUMIFS(Settings!$B$21:$B$25,Settings!$A$21:$A$25,SUMPRODUCT(MAX((Settings!$A$21:$A$25&lt;=$A460)*Settings!$A$21:$A$25)))+D460*SUMIFS(Settings!$C$21:$C$25,Settings!$A$21:$A$25,SUMPRODUCT(MAX((Settings!$A$21:$A$25&lt;=$A460)*Settings!$A$21:$A$25))))</f>
      </c>
      <c r="M460" s="32">
        <f>IF($A460="","",L460*IFERROR(INDEX(Settings!$B$30:$B$36,MATCH($B460,Settings!$A$30:$A$36,0)),0))</f>
      </c>
      <c r="N460" s="32">
        <f t="shared" si="36"/>
      </c>
      <c r="O460" s="33">
        <f t="shared" si="37"/>
      </c>
      <c r="P460" s="32">
        <f t="shared" si="38"/>
      </c>
      <c r="Q460" s="33">
        <f t="shared" si="39"/>
      </c>
    </row>
    <row r="461" spans="1:17" x14ac:dyDescent="0.25">
      <c r="A461" s="22"/>
      <c r="B461" s="5"/>
      <c r="C461" s="5"/>
      <c r="D461" s="5"/>
      <c r="E461" s="5"/>
      <c r="F461" s="5"/>
      <c r="G461" s="5"/>
      <c r="H461" s="23"/>
      <c r="I461" s="23"/>
      <c r="J461" s="5"/>
      <c r="K461" s="31">
        <f t="shared" si="35"/>
      </c>
      <c r="L461" s="32">
        <f>IF($A461="","",C461*SUMIFS(Settings!$B$21:$B$25,Settings!$A$21:$A$25,SUMPRODUCT(MAX((Settings!$A$21:$A$25&lt;=$A461)*Settings!$A$21:$A$25)))+D461*SUMIFS(Settings!$C$21:$C$25,Settings!$A$21:$A$25,SUMPRODUCT(MAX((Settings!$A$21:$A$25&lt;=$A461)*Settings!$A$21:$A$25))))</f>
      </c>
      <c r="M461" s="32">
        <f>IF($A461="","",L461*IFERROR(INDEX(Settings!$B$30:$B$36,MATCH($B461,Settings!$A$30:$A$36,0)),0))</f>
      </c>
      <c r="N461" s="32">
        <f t="shared" si="36"/>
      </c>
      <c r="O461" s="33">
        <f t="shared" si="37"/>
      </c>
      <c r="P461" s="32">
        <f t="shared" si="38"/>
      </c>
      <c r="Q461" s="33">
        <f t="shared" si="39"/>
      </c>
    </row>
    <row r="462" spans="1:17" x14ac:dyDescent="0.25">
      <c r="A462" s="22"/>
      <c r="B462" s="5"/>
      <c r="C462" s="5"/>
      <c r="D462" s="5"/>
      <c r="E462" s="5"/>
      <c r="F462" s="5"/>
      <c r="G462" s="5"/>
      <c r="H462" s="23"/>
      <c r="I462" s="23"/>
      <c r="J462" s="5"/>
      <c r="K462" s="31">
        <f t="shared" si="35"/>
      </c>
      <c r="L462" s="32">
        <f>IF($A462="","",C462*SUMIFS(Settings!$B$21:$B$25,Settings!$A$21:$A$25,SUMPRODUCT(MAX((Settings!$A$21:$A$25&lt;=$A462)*Settings!$A$21:$A$25)))+D462*SUMIFS(Settings!$C$21:$C$25,Settings!$A$21:$A$25,SUMPRODUCT(MAX((Settings!$A$21:$A$25&lt;=$A462)*Settings!$A$21:$A$25))))</f>
      </c>
      <c r="M462" s="32">
        <f>IF($A462="","",L462*IFERROR(INDEX(Settings!$B$30:$B$36,MATCH($B462,Settings!$A$30:$A$36,0)),0))</f>
      </c>
      <c r="N462" s="32">
        <f t="shared" si="36"/>
      </c>
      <c r="O462" s="33">
        <f t="shared" si="37"/>
      </c>
      <c r="P462" s="32">
        <f t="shared" si="38"/>
      </c>
      <c r="Q462" s="33">
        <f t="shared" si="39"/>
      </c>
    </row>
    <row r="463" spans="1:17" x14ac:dyDescent="0.25">
      <c r="A463" s="22"/>
      <c r="B463" s="5"/>
      <c r="C463" s="5"/>
      <c r="D463" s="5"/>
      <c r="E463" s="5"/>
      <c r="F463" s="5"/>
      <c r="G463" s="5"/>
      <c r="H463" s="23"/>
      <c r="I463" s="23"/>
      <c r="J463" s="5"/>
      <c r="K463" s="31">
        <f t="shared" si="35"/>
      </c>
      <c r="L463" s="32">
        <f>IF($A463="","",C463*SUMIFS(Settings!$B$21:$B$25,Settings!$A$21:$A$25,SUMPRODUCT(MAX((Settings!$A$21:$A$25&lt;=$A463)*Settings!$A$21:$A$25)))+D463*SUMIFS(Settings!$C$21:$C$25,Settings!$A$21:$A$25,SUMPRODUCT(MAX((Settings!$A$21:$A$25&lt;=$A463)*Settings!$A$21:$A$25))))</f>
      </c>
      <c r="M463" s="32">
        <f>IF($A463="","",L463*IFERROR(INDEX(Settings!$B$30:$B$36,MATCH($B463,Settings!$A$30:$A$36,0)),0))</f>
      </c>
      <c r="N463" s="32">
        <f t="shared" si="36"/>
      </c>
      <c r="O463" s="33">
        <f t="shared" si="37"/>
      </c>
      <c r="P463" s="32">
        <f t="shared" si="38"/>
      </c>
      <c r="Q463" s="33">
        <f t="shared" si="39"/>
      </c>
    </row>
    <row r="464" spans="1:17" x14ac:dyDescent="0.25">
      <c r="A464" s="22"/>
      <c r="B464" s="5"/>
      <c r="C464" s="5"/>
      <c r="D464" s="5"/>
      <c r="E464" s="5"/>
      <c r="F464" s="5"/>
      <c r="G464" s="5"/>
      <c r="H464" s="23"/>
      <c r="I464" s="23"/>
      <c r="J464" s="5"/>
      <c r="K464" s="31">
        <f t="shared" si="35"/>
      </c>
      <c r="L464" s="32">
        <f>IF($A464="","",C464*SUMIFS(Settings!$B$21:$B$25,Settings!$A$21:$A$25,SUMPRODUCT(MAX((Settings!$A$21:$A$25&lt;=$A464)*Settings!$A$21:$A$25)))+D464*SUMIFS(Settings!$C$21:$C$25,Settings!$A$21:$A$25,SUMPRODUCT(MAX((Settings!$A$21:$A$25&lt;=$A464)*Settings!$A$21:$A$25))))</f>
      </c>
      <c r="M464" s="32">
        <f>IF($A464="","",L464*IFERROR(INDEX(Settings!$B$30:$B$36,MATCH($B464,Settings!$A$30:$A$36,0)),0))</f>
      </c>
      <c r="N464" s="32">
        <f t="shared" si="36"/>
      </c>
      <c r="O464" s="33">
        <f t="shared" si="37"/>
      </c>
      <c r="P464" s="32">
        <f t="shared" si="38"/>
      </c>
      <c r="Q464" s="33">
        <f t="shared" si="39"/>
      </c>
    </row>
    <row r="465" spans="1:17" x14ac:dyDescent="0.25">
      <c r="A465" s="22"/>
      <c r="B465" s="5"/>
      <c r="C465" s="5"/>
      <c r="D465" s="5"/>
      <c r="E465" s="5"/>
      <c r="F465" s="5"/>
      <c r="G465" s="5"/>
      <c r="H465" s="23"/>
      <c r="I465" s="23"/>
      <c r="J465" s="5"/>
      <c r="K465" s="31">
        <f t="shared" si="35"/>
      </c>
      <c r="L465" s="32">
        <f>IF($A465="","",C465*SUMIFS(Settings!$B$21:$B$25,Settings!$A$21:$A$25,SUMPRODUCT(MAX((Settings!$A$21:$A$25&lt;=$A465)*Settings!$A$21:$A$25)))+D465*SUMIFS(Settings!$C$21:$C$25,Settings!$A$21:$A$25,SUMPRODUCT(MAX((Settings!$A$21:$A$25&lt;=$A465)*Settings!$A$21:$A$25))))</f>
      </c>
      <c r="M465" s="32">
        <f>IF($A465="","",L465*IFERROR(INDEX(Settings!$B$30:$B$36,MATCH($B465,Settings!$A$30:$A$36,0)),0))</f>
      </c>
      <c r="N465" s="32">
        <f t="shared" si="36"/>
      </c>
      <c r="O465" s="33">
        <f t="shared" si="37"/>
      </c>
      <c r="P465" s="32">
        <f t="shared" si="38"/>
      </c>
      <c r="Q465" s="33">
        <f t="shared" si="39"/>
      </c>
    </row>
    <row r="466" spans="1:17" x14ac:dyDescent="0.25">
      <c r="A466" s="22"/>
      <c r="B466" s="5"/>
      <c r="C466" s="5"/>
      <c r="D466" s="5"/>
      <c r="E466" s="5"/>
      <c r="F466" s="5"/>
      <c r="G466" s="5"/>
      <c r="H466" s="23"/>
      <c r="I466" s="23"/>
      <c r="J466" s="5"/>
      <c r="K466" s="31">
        <f t="shared" si="35"/>
      </c>
      <c r="L466" s="32">
        <f>IF($A466="","",C466*SUMIFS(Settings!$B$21:$B$25,Settings!$A$21:$A$25,SUMPRODUCT(MAX((Settings!$A$21:$A$25&lt;=$A466)*Settings!$A$21:$A$25)))+D466*SUMIFS(Settings!$C$21:$C$25,Settings!$A$21:$A$25,SUMPRODUCT(MAX((Settings!$A$21:$A$25&lt;=$A466)*Settings!$A$21:$A$25))))</f>
      </c>
      <c r="M466" s="32">
        <f>IF($A466="","",L466*IFERROR(INDEX(Settings!$B$30:$B$36,MATCH($B466,Settings!$A$30:$A$36,0)),0))</f>
      </c>
      <c r="N466" s="32">
        <f t="shared" si="36"/>
      </c>
      <c r="O466" s="33">
        <f t="shared" si="37"/>
      </c>
      <c r="P466" s="32">
        <f t="shared" si="38"/>
      </c>
      <c r="Q466" s="33">
        <f t="shared" si="39"/>
      </c>
    </row>
    <row r="467" spans="1:17" x14ac:dyDescent="0.25">
      <c r="A467" s="22"/>
      <c r="B467" s="5"/>
      <c r="C467" s="5"/>
      <c r="D467" s="5"/>
      <c r="E467" s="5"/>
      <c r="F467" s="5"/>
      <c r="G467" s="5"/>
      <c r="H467" s="23"/>
      <c r="I467" s="23"/>
      <c r="J467" s="5"/>
      <c r="K467" s="31">
        <f t="shared" si="35"/>
      </c>
      <c r="L467" s="32">
        <f>IF($A467="","",C467*SUMIFS(Settings!$B$21:$B$25,Settings!$A$21:$A$25,SUMPRODUCT(MAX((Settings!$A$21:$A$25&lt;=$A467)*Settings!$A$21:$A$25)))+D467*SUMIFS(Settings!$C$21:$C$25,Settings!$A$21:$A$25,SUMPRODUCT(MAX((Settings!$A$21:$A$25&lt;=$A467)*Settings!$A$21:$A$25))))</f>
      </c>
      <c r="M467" s="32">
        <f>IF($A467="","",L467*IFERROR(INDEX(Settings!$B$30:$B$36,MATCH($B467,Settings!$A$30:$A$36,0)),0))</f>
      </c>
      <c r="N467" s="32">
        <f t="shared" si="36"/>
      </c>
      <c r="O467" s="33">
        <f t="shared" si="37"/>
      </c>
      <c r="P467" s="32">
        <f t="shared" si="38"/>
      </c>
      <c r="Q467" s="33">
        <f t="shared" si="39"/>
      </c>
    </row>
    <row r="468" spans="1:17" x14ac:dyDescent="0.25">
      <c r="A468" s="22"/>
      <c r="B468" s="5"/>
      <c r="C468" s="5"/>
      <c r="D468" s="5"/>
      <c r="E468" s="5"/>
      <c r="F468" s="5"/>
      <c r="G468" s="5"/>
      <c r="H468" s="23"/>
      <c r="I468" s="23"/>
      <c r="J468" s="5"/>
      <c r="K468" s="31">
        <f t="shared" si="35"/>
      </c>
      <c r="L468" s="32">
        <f>IF($A468="","",C468*SUMIFS(Settings!$B$21:$B$25,Settings!$A$21:$A$25,SUMPRODUCT(MAX((Settings!$A$21:$A$25&lt;=$A468)*Settings!$A$21:$A$25)))+D468*SUMIFS(Settings!$C$21:$C$25,Settings!$A$21:$A$25,SUMPRODUCT(MAX((Settings!$A$21:$A$25&lt;=$A468)*Settings!$A$21:$A$25))))</f>
      </c>
      <c r="M468" s="32">
        <f>IF($A468="","",L468*IFERROR(INDEX(Settings!$B$30:$B$36,MATCH($B468,Settings!$A$30:$A$36,0)),0))</f>
      </c>
      <c r="N468" s="32">
        <f t="shared" si="36"/>
      </c>
      <c r="O468" s="33">
        <f t="shared" si="37"/>
      </c>
      <c r="P468" s="32">
        <f t="shared" si="38"/>
      </c>
      <c r="Q468" s="33">
        <f t="shared" si="39"/>
      </c>
    </row>
    <row r="469" spans="1:17" x14ac:dyDescent="0.25">
      <c r="A469" s="22"/>
      <c r="B469" s="5"/>
      <c r="C469" s="5"/>
      <c r="D469" s="5"/>
      <c r="E469" s="5"/>
      <c r="F469" s="5"/>
      <c r="G469" s="5"/>
      <c r="H469" s="23"/>
      <c r="I469" s="23"/>
      <c r="J469" s="5"/>
      <c r="K469" s="31">
        <f t="shared" si="35"/>
      </c>
      <c r="L469" s="32">
        <f>IF($A469="","",C469*SUMIFS(Settings!$B$21:$B$25,Settings!$A$21:$A$25,SUMPRODUCT(MAX((Settings!$A$21:$A$25&lt;=$A469)*Settings!$A$21:$A$25)))+D469*SUMIFS(Settings!$C$21:$C$25,Settings!$A$21:$A$25,SUMPRODUCT(MAX((Settings!$A$21:$A$25&lt;=$A469)*Settings!$A$21:$A$25))))</f>
      </c>
      <c r="M469" s="32">
        <f>IF($A469="","",L469*IFERROR(INDEX(Settings!$B$30:$B$36,MATCH($B469,Settings!$A$30:$A$36,0)),0))</f>
      </c>
      <c r="N469" s="32">
        <f t="shared" si="36"/>
      </c>
      <c r="O469" s="33">
        <f t="shared" si="37"/>
      </c>
      <c r="P469" s="32">
        <f t="shared" si="38"/>
      </c>
      <c r="Q469" s="33">
        <f t="shared" si="39"/>
      </c>
    </row>
    <row r="470" spans="1:17" x14ac:dyDescent="0.25">
      <c r="A470" s="22"/>
      <c r="B470" s="5"/>
      <c r="C470" s="5"/>
      <c r="D470" s="5"/>
      <c r="E470" s="5"/>
      <c r="F470" s="5"/>
      <c r="G470" s="5"/>
      <c r="H470" s="23"/>
      <c r="I470" s="23"/>
      <c r="J470" s="5"/>
      <c r="K470" s="31">
        <f t="shared" si="35"/>
      </c>
      <c r="L470" s="32">
        <f>IF($A470="","",C470*SUMIFS(Settings!$B$21:$B$25,Settings!$A$21:$A$25,SUMPRODUCT(MAX((Settings!$A$21:$A$25&lt;=$A470)*Settings!$A$21:$A$25)))+D470*SUMIFS(Settings!$C$21:$C$25,Settings!$A$21:$A$25,SUMPRODUCT(MAX((Settings!$A$21:$A$25&lt;=$A470)*Settings!$A$21:$A$25))))</f>
      </c>
      <c r="M470" s="32">
        <f>IF($A470="","",L470*IFERROR(INDEX(Settings!$B$30:$B$36,MATCH($B470,Settings!$A$30:$A$36,0)),0))</f>
      </c>
      <c r="N470" s="32">
        <f t="shared" si="36"/>
      </c>
      <c r="O470" s="33">
        <f t="shared" si="37"/>
      </c>
      <c r="P470" s="32">
        <f t="shared" si="38"/>
      </c>
      <c r="Q470" s="33">
        <f t="shared" si="39"/>
      </c>
    </row>
    <row r="471" spans="1:17" x14ac:dyDescent="0.25">
      <c r="A471" s="22"/>
      <c r="B471" s="5"/>
      <c r="C471" s="5"/>
      <c r="D471" s="5"/>
      <c r="E471" s="5"/>
      <c r="F471" s="5"/>
      <c r="G471" s="5"/>
      <c r="H471" s="23"/>
      <c r="I471" s="23"/>
      <c r="J471" s="5"/>
      <c r="K471" s="31">
        <f t="shared" si="35"/>
      </c>
      <c r="L471" s="32">
        <f>IF($A471="","",C471*SUMIFS(Settings!$B$21:$B$25,Settings!$A$21:$A$25,SUMPRODUCT(MAX((Settings!$A$21:$A$25&lt;=$A471)*Settings!$A$21:$A$25)))+D471*SUMIFS(Settings!$C$21:$C$25,Settings!$A$21:$A$25,SUMPRODUCT(MAX((Settings!$A$21:$A$25&lt;=$A471)*Settings!$A$21:$A$25))))</f>
      </c>
      <c r="M471" s="32">
        <f>IF($A471="","",L471*IFERROR(INDEX(Settings!$B$30:$B$36,MATCH($B471,Settings!$A$30:$A$36,0)),0))</f>
      </c>
      <c r="N471" s="32">
        <f t="shared" si="36"/>
      </c>
      <c r="O471" s="33">
        <f t="shared" si="37"/>
      </c>
      <c r="P471" s="32">
        <f t="shared" si="38"/>
      </c>
      <c r="Q471" s="33">
        <f t="shared" si="39"/>
      </c>
    </row>
    <row r="472" spans="1:17" x14ac:dyDescent="0.25">
      <c r="A472" s="22"/>
      <c r="B472" s="5"/>
      <c r="C472" s="5"/>
      <c r="D472" s="5"/>
      <c r="E472" s="5"/>
      <c r="F472" s="5"/>
      <c r="G472" s="5"/>
      <c r="H472" s="23"/>
      <c r="I472" s="23"/>
      <c r="J472" s="5"/>
      <c r="K472" s="31">
        <f t="shared" si="35"/>
      </c>
      <c r="L472" s="32">
        <f>IF($A472="","",C472*SUMIFS(Settings!$B$21:$B$25,Settings!$A$21:$A$25,SUMPRODUCT(MAX((Settings!$A$21:$A$25&lt;=$A472)*Settings!$A$21:$A$25)))+D472*SUMIFS(Settings!$C$21:$C$25,Settings!$A$21:$A$25,SUMPRODUCT(MAX((Settings!$A$21:$A$25&lt;=$A472)*Settings!$A$21:$A$25))))</f>
      </c>
      <c r="M472" s="32">
        <f>IF($A472="","",L472*IFERROR(INDEX(Settings!$B$30:$B$36,MATCH($B472,Settings!$A$30:$A$36,0)),0))</f>
      </c>
      <c r="N472" s="32">
        <f t="shared" si="36"/>
      </c>
      <c r="O472" s="33">
        <f t="shared" si="37"/>
      </c>
      <c r="P472" s="32">
        <f t="shared" si="38"/>
      </c>
      <c r="Q472" s="33">
        <f t="shared" si="39"/>
      </c>
    </row>
    <row r="473" spans="1:17" x14ac:dyDescent="0.25">
      <c r="A473" s="22"/>
      <c r="B473" s="5"/>
      <c r="C473" s="5"/>
      <c r="D473" s="5"/>
      <c r="E473" s="5"/>
      <c r="F473" s="5"/>
      <c r="G473" s="5"/>
      <c r="H473" s="23"/>
      <c r="I473" s="23"/>
      <c r="J473" s="5"/>
      <c r="K473" s="31">
        <f t="shared" si="35"/>
      </c>
      <c r="L473" s="32">
        <f>IF($A473="","",C473*SUMIFS(Settings!$B$21:$B$25,Settings!$A$21:$A$25,SUMPRODUCT(MAX((Settings!$A$21:$A$25&lt;=$A473)*Settings!$A$21:$A$25)))+D473*SUMIFS(Settings!$C$21:$C$25,Settings!$A$21:$A$25,SUMPRODUCT(MAX((Settings!$A$21:$A$25&lt;=$A473)*Settings!$A$21:$A$25))))</f>
      </c>
      <c r="M473" s="32">
        <f>IF($A473="","",L473*IFERROR(INDEX(Settings!$B$30:$B$36,MATCH($B473,Settings!$A$30:$A$36,0)),0))</f>
      </c>
      <c r="N473" s="32">
        <f t="shared" si="36"/>
      </c>
      <c r="O473" s="33">
        <f t="shared" si="37"/>
      </c>
      <c r="P473" s="32">
        <f t="shared" si="38"/>
      </c>
      <c r="Q473" s="33">
        <f t="shared" si="39"/>
      </c>
    </row>
    <row r="474" spans="1:17" x14ac:dyDescent="0.25">
      <c r="A474" s="22"/>
      <c r="B474" s="5"/>
      <c r="C474" s="5"/>
      <c r="D474" s="5"/>
      <c r="E474" s="5"/>
      <c r="F474" s="5"/>
      <c r="G474" s="5"/>
      <c r="H474" s="23"/>
      <c r="I474" s="23"/>
      <c r="J474" s="5"/>
      <c r="K474" s="31">
        <f t="shared" si="35"/>
      </c>
      <c r="L474" s="32">
        <f>IF($A474="","",C474*SUMIFS(Settings!$B$21:$B$25,Settings!$A$21:$A$25,SUMPRODUCT(MAX((Settings!$A$21:$A$25&lt;=$A474)*Settings!$A$21:$A$25)))+D474*SUMIFS(Settings!$C$21:$C$25,Settings!$A$21:$A$25,SUMPRODUCT(MAX((Settings!$A$21:$A$25&lt;=$A474)*Settings!$A$21:$A$25))))</f>
      </c>
      <c r="M474" s="32">
        <f>IF($A474="","",L474*IFERROR(INDEX(Settings!$B$30:$B$36,MATCH($B474,Settings!$A$30:$A$36,0)),0))</f>
      </c>
      <c r="N474" s="32">
        <f t="shared" si="36"/>
      </c>
      <c r="O474" s="33">
        <f t="shared" si="37"/>
      </c>
      <c r="P474" s="32">
        <f t="shared" si="38"/>
      </c>
      <c r="Q474" s="33">
        <f t="shared" si="39"/>
      </c>
    </row>
    <row r="475" spans="1:17" x14ac:dyDescent="0.25">
      <c r="A475" s="22"/>
      <c r="B475" s="5"/>
      <c r="C475" s="5"/>
      <c r="D475" s="5"/>
      <c r="E475" s="5"/>
      <c r="F475" s="5"/>
      <c r="G475" s="5"/>
      <c r="H475" s="23"/>
      <c r="I475" s="23"/>
      <c r="J475" s="5"/>
      <c r="K475" s="31">
        <f t="shared" si="35"/>
      </c>
      <c r="L475" s="32">
        <f>IF($A475="","",C475*SUMIFS(Settings!$B$21:$B$25,Settings!$A$21:$A$25,SUMPRODUCT(MAX((Settings!$A$21:$A$25&lt;=$A475)*Settings!$A$21:$A$25)))+D475*SUMIFS(Settings!$C$21:$C$25,Settings!$A$21:$A$25,SUMPRODUCT(MAX((Settings!$A$21:$A$25&lt;=$A475)*Settings!$A$21:$A$25))))</f>
      </c>
      <c r="M475" s="32">
        <f>IF($A475="","",L475*IFERROR(INDEX(Settings!$B$30:$B$36,MATCH($B475,Settings!$A$30:$A$36,0)),0))</f>
      </c>
      <c r="N475" s="32">
        <f t="shared" si="36"/>
      </c>
      <c r="O475" s="33">
        <f t="shared" si="37"/>
      </c>
      <c r="P475" s="32">
        <f t="shared" si="38"/>
      </c>
      <c r="Q475" s="33">
        <f t="shared" si="39"/>
      </c>
    </row>
    <row r="476" spans="1:17" x14ac:dyDescent="0.25">
      <c r="A476" s="22"/>
      <c r="B476" s="5"/>
      <c r="C476" s="5"/>
      <c r="D476" s="5"/>
      <c r="E476" s="5"/>
      <c r="F476" s="5"/>
      <c r="G476" s="5"/>
      <c r="H476" s="23"/>
      <c r="I476" s="23"/>
      <c r="J476" s="5"/>
      <c r="K476" s="31">
        <f t="shared" si="35"/>
      </c>
      <c r="L476" s="32">
        <f>IF($A476="","",C476*SUMIFS(Settings!$B$21:$B$25,Settings!$A$21:$A$25,SUMPRODUCT(MAX((Settings!$A$21:$A$25&lt;=$A476)*Settings!$A$21:$A$25)))+D476*SUMIFS(Settings!$C$21:$C$25,Settings!$A$21:$A$25,SUMPRODUCT(MAX((Settings!$A$21:$A$25&lt;=$A476)*Settings!$A$21:$A$25))))</f>
      </c>
      <c r="M476" s="32">
        <f>IF($A476="","",L476*IFERROR(INDEX(Settings!$B$30:$B$36,MATCH($B476,Settings!$A$30:$A$36,0)),0))</f>
      </c>
      <c r="N476" s="32">
        <f t="shared" si="36"/>
      </c>
      <c r="O476" s="33">
        <f t="shared" si="37"/>
      </c>
      <c r="P476" s="32">
        <f t="shared" si="38"/>
      </c>
      <c r="Q476" s="33">
        <f t="shared" si="39"/>
      </c>
    </row>
    <row r="477" spans="1:17" x14ac:dyDescent="0.25">
      <c r="A477" s="22"/>
      <c r="B477" s="5"/>
      <c r="C477" s="5"/>
      <c r="D477" s="5"/>
      <c r="E477" s="5"/>
      <c r="F477" s="5"/>
      <c r="G477" s="5"/>
      <c r="H477" s="23"/>
      <c r="I477" s="23"/>
      <c r="J477" s="5"/>
      <c r="K477" s="31">
        <f t="shared" si="35"/>
      </c>
      <c r="L477" s="32">
        <f>IF($A477="","",C477*SUMIFS(Settings!$B$21:$B$25,Settings!$A$21:$A$25,SUMPRODUCT(MAX((Settings!$A$21:$A$25&lt;=$A477)*Settings!$A$21:$A$25)))+D477*SUMIFS(Settings!$C$21:$C$25,Settings!$A$21:$A$25,SUMPRODUCT(MAX((Settings!$A$21:$A$25&lt;=$A477)*Settings!$A$21:$A$25))))</f>
      </c>
      <c r="M477" s="32">
        <f>IF($A477="","",L477*IFERROR(INDEX(Settings!$B$30:$B$36,MATCH($B477,Settings!$A$30:$A$36,0)),0))</f>
      </c>
      <c r="N477" s="32">
        <f t="shared" si="36"/>
      </c>
      <c r="O477" s="33">
        <f t="shared" si="37"/>
      </c>
      <c r="P477" s="32">
        <f t="shared" si="38"/>
      </c>
      <c r="Q477" s="33">
        <f t="shared" si="39"/>
      </c>
    </row>
    <row r="478" spans="1:17" x14ac:dyDescent="0.25">
      <c r="A478" s="22"/>
      <c r="B478" s="5"/>
      <c r="C478" s="5"/>
      <c r="D478" s="5"/>
      <c r="E478" s="5"/>
      <c r="F478" s="5"/>
      <c r="G478" s="5"/>
      <c r="H478" s="23"/>
      <c r="I478" s="23"/>
      <c r="J478" s="5"/>
      <c r="K478" s="31">
        <f t="shared" si="35"/>
      </c>
      <c r="L478" s="32">
        <f>IF($A478="","",C478*SUMIFS(Settings!$B$21:$B$25,Settings!$A$21:$A$25,SUMPRODUCT(MAX((Settings!$A$21:$A$25&lt;=$A478)*Settings!$A$21:$A$25)))+D478*SUMIFS(Settings!$C$21:$C$25,Settings!$A$21:$A$25,SUMPRODUCT(MAX((Settings!$A$21:$A$25&lt;=$A478)*Settings!$A$21:$A$25))))</f>
      </c>
      <c r="M478" s="32">
        <f>IF($A478="","",L478*IFERROR(INDEX(Settings!$B$30:$B$36,MATCH($B478,Settings!$A$30:$A$36,0)),0))</f>
      </c>
      <c r="N478" s="32">
        <f t="shared" si="36"/>
      </c>
      <c r="O478" s="33">
        <f t="shared" si="37"/>
      </c>
      <c r="P478" s="32">
        <f t="shared" si="38"/>
      </c>
      <c r="Q478" s="33">
        <f t="shared" si="39"/>
      </c>
    </row>
    <row r="479" spans="1:17" x14ac:dyDescent="0.25">
      <c r="A479" s="22"/>
      <c r="B479" s="5"/>
      <c r="C479" s="5"/>
      <c r="D479" s="5"/>
      <c r="E479" s="5"/>
      <c r="F479" s="5"/>
      <c r="G479" s="5"/>
      <c r="H479" s="23"/>
      <c r="I479" s="23"/>
      <c r="J479" s="5"/>
      <c r="K479" s="31">
        <f t="shared" si="35"/>
      </c>
      <c r="L479" s="32">
        <f>IF($A479="","",C479*SUMIFS(Settings!$B$21:$B$25,Settings!$A$21:$A$25,SUMPRODUCT(MAX((Settings!$A$21:$A$25&lt;=$A479)*Settings!$A$21:$A$25)))+D479*SUMIFS(Settings!$C$21:$C$25,Settings!$A$21:$A$25,SUMPRODUCT(MAX((Settings!$A$21:$A$25&lt;=$A479)*Settings!$A$21:$A$25))))</f>
      </c>
      <c r="M479" s="32">
        <f>IF($A479="","",L479*IFERROR(INDEX(Settings!$B$30:$B$36,MATCH($B479,Settings!$A$30:$A$36,0)),0))</f>
      </c>
      <c r="N479" s="32">
        <f t="shared" si="36"/>
      </c>
      <c r="O479" s="33">
        <f t="shared" si="37"/>
      </c>
      <c r="P479" s="32">
        <f t="shared" si="38"/>
      </c>
      <c r="Q479" s="33">
        <f t="shared" si="39"/>
      </c>
    </row>
    <row r="480" spans="1:17" x14ac:dyDescent="0.25">
      <c r="A480" s="22"/>
      <c r="B480" s="5"/>
      <c r="C480" s="5"/>
      <c r="D480" s="5"/>
      <c r="E480" s="5"/>
      <c r="F480" s="5"/>
      <c r="G480" s="5"/>
      <c r="H480" s="23"/>
      <c r="I480" s="23"/>
      <c r="J480" s="5"/>
      <c r="K480" s="31">
        <f t="shared" si="35"/>
      </c>
      <c r="L480" s="32">
        <f>IF($A480="","",C480*SUMIFS(Settings!$B$21:$B$25,Settings!$A$21:$A$25,SUMPRODUCT(MAX((Settings!$A$21:$A$25&lt;=$A480)*Settings!$A$21:$A$25)))+D480*SUMIFS(Settings!$C$21:$C$25,Settings!$A$21:$A$25,SUMPRODUCT(MAX((Settings!$A$21:$A$25&lt;=$A480)*Settings!$A$21:$A$25))))</f>
      </c>
      <c r="M480" s="32">
        <f>IF($A480="","",L480*IFERROR(INDEX(Settings!$B$30:$B$36,MATCH($B480,Settings!$A$30:$A$36,0)),0))</f>
      </c>
      <c r="N480" s="32">
        <f t="shared" si="36"/>
      </c>
      <c r="O480" s="33">
        <f t="shared" si="37"/>
      </c>
      <c r="P480" s="32">
        <f t="shared" si="38"/>
      </c>
      <c r="Q480" s="33">
        <f t="shared" si="39"/>
      </c>
    </row>
    <row r="481" spans="1:17" x14ac:dyDescent="0.25">
      <c r="A481" s="22"/>
      <c r="B481" s="5"/>
      <c r="C481" s="5"/>
      <c r="D481" s="5"/>
      <c r="E481" s="5"/>
      <c r="F481" s="5"/>
      <c r="G481" s="5"/>
      <c r="H481" s="23"/>
      <c r="I481" s="23"/>
      <c r="J481" s="5"/>
      <c r="K481" s="31">
        <f t="shared" si="35"/>
      </c>
      <c r="L481" s="32">
        <f>IF($A481="","",C481*SUMIFS(Settings!$B$21:$B$25,Settings!$A$21:$A$25,SUMPRODUCT(MAX((Settings!$A$21:$A$25&lt;=$A481)*Settings!$A$21:$A$25)))+D481*SUMIFS(Settings!$C$21:$C$25,Settings!$A$21:$A$25,SUMPRODUCT(MAX((Settings!$A$21:$A$25&lt;=$A481)*Settings!$A$21:$A$25))))</f>
      </c>
      <c r="M481" s="32">
        <f>IF($A481="","",L481*IFERROR(INDEX(Settings!$B$30:$B$36,MATCH($B481,Settings!$A$30:$A$36,0)),0))</f>
      </c>
      <c r="N481" s="32">
        <f t="shared" si="36"/>
      </c>
      <c r="O481" s="33">
        <f t="shared" si="37"/>
      </c>
      <c r="P481" s="32">
        <f t="shared" si="38"/>
      </c>
      <c r="Q481" s="33">
        <f t="shared" si="39"/>
      </c>
    </row>
    <row r="482" spans="1:17" x14ac:dyDescent="0.25">
      <c r="A482" s="22"/>
      <c r="B482" s="5"/>
      <c r="C482" s="5"/>
      <c r="D482" s="5"/>
      <c r="E482" s="5"/>
      <c r="F482" s="5"/>
      <c r="G482" s="5"/>
      <c r="H482" s="23"/>
      <c r="I482" s="23"/>
      <c r="J482" s="5"/>
      <c r="K482" s="31">
        <f t="shared" si="35"/>
      </c>
      <c r="L482" s="32">
        <f>IF($A482="","",C482*SUMIFS(Settings!$B$21:$B$25,Settings!$A$21:$A$25,SUMPRODUCT(MAX((Settings!$A$21:$A$25&lt;=$A482)*Settings!$A$21:$A$25)))+D482*SUMIFS(Settings!$C$21:$C$25,Settings!$A$21:$A$25,SUMPRODUCT(MAX((Settings!$A$21:$A$25&lt;=$A482)*Settings!$A$21:$A$25))))</f>
      </c>
      <c r="M482" s="32">
        <f>IF($A482="","",L482*IFERROR(INDEX(Settings!$B$30:$B$36,MATCH($B482,Settings!$A$30:$A$36,0)),0))</f>
      </c>
      <c r="N482" s="32">
        <f t="shared" si="36"/>
      </c>
      <c r="O482" s="33">
        <f t="shared" si="37"/>
      </c>
      <c r="P482" s="32">
        <f t="shared" si="38"/>
      </c>
      <c r="Q482" s="33">
        <f t="shared" si="39"/>
      </c>
    </row>
    <row r="483" spans="1:17" x14ac:dyDescent="0.25">
      <c r="A483" s="22"/>
      <c r="B483" s="5"/>
      <c r="C483" s="5"/>
      <c r="D483" s="5"/>
      <c r="E483" s="5"/>
      <c r="F483" s="5"/>
      <c r="G483" s="5"/>
      <c r="H483" s="23"/>
      <c r="I483" s="23"/>
      <c r="J483" s="5"/>
      <c r="K483" s="31">
        <f t="shared" si="35"/>
      </c>
      <c r="L483" s="32">
        <f>IF($A483="","",C483*SUMIFS(Settings!$B$21:$B$25,Settings!$A$21:$A$25,SUMPRODUCT(MAX((Settings!$A$21:$A$25&lt;=$A483)*Settings!$A$21:$A$25)))+D483*SUMIFS(Settings!$C$21:$C$25,Settings!$A$21:$A$25,SUMPRODUCT(MAX((Settings!$A$21:$A$25&lt;=$A483)*Settings!$A$21:$A$25))))</f>
      </c>
      <c r="M483" s="32">
        <f>IF($A483="","",L483*IFERROR(INDEX(Settings!$B$30:$B$36,MATCH($B483,Settings!$A$30:$A$36,0)),0))</f>
      </c>
      <c r="N483" s="32">
        <f t="shared" si="36"/>
      </c>
      <c r="O483" s="33">
        <f t="shared" si="37"/>
      </c>
      <c r="P483" s="32">
        <f t="shared" si="38"/>
      </c>
      <c r="Q483" s="33">
        <f t="shared" si="39"/>
      </c>
    </row>
    <row r="484" spans="1:17" x14ac:dyDescent="0.25">
      <c r="A484" s="22"/>
      <c r="B484" s="5"/>
      <c r="C484" s="5"/>
      <c r="D484" s="5"/>
      <c r="E484" s="5"/>
      <c r="F484" s="5"/>
      <c r="G484" s="5"/>
      <c r="H484" s="23"/>
      <c r="I484" s="23"/>
      <c r="J484" s="5"/>
      <c r="K484" s="31">
        <f t="shared" si="35"/>
      </c>
      <c r="L484" s="32">
        <f>IF($A484="","",C484*SUMIFS(Settings!$B$21:$B$25,Settings!$A$21:$A$25,SUMPRODUCT(MAX((Settings!$A$21:$A$25&lt;=$A484)*Settings!$A$21:$A$25)))+D484*SUMIFS(Settings!$C$21:$C$25,Settings!$A$21:$A$25,SUMPRODUCT(MAX((Settings!$A$21:$A$25&lt;=$A484)*Settings!$A$21:$A$25))))</f>
      </c>
      <c r="M484" s="32">
        <f>IF($A484="","",L484*IFERROR(INDEX(Settings!$B$30:$B$36,MATCH($B484,Settings!$A$30:$A$36,0)),0))</f>
      </c>
      <c r="N484" s="32">
        <f t="shared" si="36"/>
      </c>
      <c r="O484" s="33">
        <f t="shared" si="37"/>
      </c>
      <c r="P484" s="32">
        <f t="shared" si="38"/>
      </c>
      <c r="Q484" s="33">
        <f t="shared" si="39"/>
      </c>
    </row>
    <row r="485" spans="1:17" x14ac:dyDescent="0.25">
      <c r="A485" s="22"/>
      <c r="B485" s="5"/>
      <c r="C485" s="5"/>
      <c r="D485" s="5"/>
      <c r="E485" s="5"/>
      <c r="F485" s="5"/>
      <c r="G485" s="5"/>
      <c r="H485" s="23"/>
      <c r="I485" s="23"/>
      <c r="J485" s="5"/>
      <c r="K485" s="31">
        <f t="shared" si="35"/>
      </c>
      <c r="L485" s="32">
        <f>IF($A485="","",C485*SUMIFS(Settings!$B$21:$B$25,Settings!$A$21:$A$25,SUMPRODUCT(MAX((Settings!$A$21:$A$25&lt;=$A485)*Settings!$A$21:$A$25)))+D485*SUMIFS(Settings!$C$21:$C$25,Settings!$A$21:$A$25,SUMPRODUCT(MAX((Settings!$A$21:$A$25&lt;=$A485)*Settings!$A$21:$A$25))))</f>
      </c>
      <c r="M485" s="32">
        <f>IF($A485="","",L485*IFERROR(INDEX(Settings!$B$30:$B$36,MATCH($B485,Settings!$A$30:$A$36,0)),0))</f>
      </c>
      <c r="N485" s="32">
        <f t="shared" si="36"/>
      </c>
      <c r="O485" s="33">
        <f t="shared" si="37"/>
      </c>
      <c r="P485" s="32">
        <f t="shared" si="38"/>
      </c>
      <c r="Q485" s="33">
        <f t="shared" si="39"/>
      </c>
    </row>
    <row r="486" spans="1:17" x14ac:dyDescent="0.25">
      <c r="A486" s="22"/>
      <c r="B486" s="5"/>
      <c r="C486" s="5"/>
      <c r="D486" s="5"/>
      <c r="E486" s="5"/>
      <c r="F486" s="5"/>
      <c r="G486" s="5"/>
      <c r="H486" s="23"/>
      <c r="I486" s="23"/>
      <c r="J486" s="5"/>
      <c r="K486" s="31">
        <f t="shared" si="35"/>
      </c>
      <c r="L486" s="32">
        <f>IF($A486="","",C486*SUMIFS(Settings!$B$21:$B$25,Settings!$A$21:$A$25,SUMPRODUCT(MAX((Settings!$A$21:$A$25&lt;=$A486)*Settings!$A$21:$A$25)))+D486*SUMIFS(Settings!$C$21:$C$25,Settings!$A$21:$A$25,SUMPRODUCT(MAX((Settings!$A$21:$A$25&lt;=$A486)*Settings!$A$21:$A$25))))</f>
      </c>
      <c r="M486" s="32">
        <f>IF($A486="","",L486*IFERROR(INDEX(Settings!$B$30:$B$36,MATCH($B486,Settings!$A$30:$A$36,0)),0))</f>
      </c>
      <c r="N486" s="32">
        <f t="shared" si="36"/>
      </c>
      <c r="O486" s="33">
        <f t="shared" si="37"/>
      </c>
      <c r="P486" s="32">
        <f t="shared" si="38"/>
      </c>
      <c r="Q486" s="33">
        <f t="shared" si="39"/>
      </c>
    </row>
    <row r="487" spans="1:17" x14ac:dyDescent="0.25">
      <c r="A487" s="22"/>
      <c r="B487" s="5"/>
      <c r="C487" s="5"/>
      <c r="D487" s="5"/>
      <c r="E487" s="5"/>
      <c r="F487" s="5"/>
      <c r="G487" s="5"/>
      <c r="H487" s="23"/>
      <c r="I487" s="23"/>
      <c r="J487" s="5"/>
      <c r="K487" s="31">
        <f t="shared" si="35"/>
      </c>
      <c r="L487" s="32">
        <f>IF($A487="","",C487*SUMIFS(Settings!$B$21:$B$25,Settings!$A$21:$A$25,SUMPRODUCT(MAX((Settings!$A$21:$A$25&lt;=$A487)*Settings!$A$21:$A$25)))+D487*SUMIFS(Settings!$C$21:$C$25,Settings!$A$21:$A$25,SUMPRODUCT(MAX((Settings!$A$21:$A$25&lt;=$A487)*Settings!$A$21:$A$25))))</f>
      </c>
      <c r="M487" s="32">
        <f>IF($A487="","",L487*IFERROR(INDEX(Settings!$B$30:$B$36,MATCH($B487,Settings!$A$30:$A$36,0)),0))</f>
      </c>
      <c r="N487" s="32">
        <f t="shared" si="36"/>
      </c>
      <c r="O487" s="33">
        <f t="shared" si="37"/>
      </c>
      <c r="P487" s="32">
        <f t="shared" si="38"/>
      </c>
      <c r="Q487" s="33">
        <f t="shared" si="39"/>
      </c>
    </row>
    <row r="488" spans="1:17" x14ac:dyDescent="0.25">
      <c r="A488" s="22"/>
      <c r="B488" s="5"/>
      <c r="C488" s="5"/>
      <c r="D488" s="5"/>
      <c r="E488" s="5"/>
      <c r="F488" s="5"/>
      <c r="G488" s="5"/>
      <c r="H488" s="23"/>
      <c r="I488" s="23"/>
      <c r="J488" s="5"/>
      <c r="K488" s="31">
        <f t="shared" si="35"/>
      </c>
      <c r="L488" s="32">
        <f>IF($A488="","",C488*SUMIFS(Settings!$B$21:$B$25,Settings!$A$21:$A$25,SUMPRODUCT(MAX((Settings!$A$21:$A$25&lt;=$A488)*Settings!$A$21:$A$25)))+D488*SUMIFS(Settings!$C$21:$C$25,Settings!$A$21:$A$25,SUMPRODUCT(MAX((Settings!$A$21:$A$25&lt;=$A488)*Settings!$A$21:$A$25))))</f>
      </c>
      <c r="M488" s="32">
        <f>IF($A488="","",L488*IFERROR(INDEX(Settings!$B$30:$B$36,MATCH($B488,Settings!$A$30:$A$36,0)),0))</f>
      </c>
      <c r="N488" s="32">
        <f t="shared" si="36"/>
      </c>
      <c r="O488" s="33">
        <f t="shared" si="37"/>
      </c>
      <c r="P488" s="32">
        <f t="shared" si="38"/>
      </c>
      <c r="Q488" s="33">
        <f t="shared" si="39"/>
      </c>
    </row>
    <row r="489" spans="1:17" x14ac:dyDescent="0.25">
      <c r="A489" s="22"/>
      <c r="B489" s="5"/>
      <c r="C489" s="5"/>
      <c r="D489" s="5"/>
      <c r="E489" s="5"/>
      <c r="F489" s="5"/>
      <c r="G489" s="5"/>
      <c r="H489" s="23"/>
      <c r="I489" s="23"/>
      <c r="J489" s="5"/>
      <c r="K489" s="31">
        <f t="shared" si="35"/>
      </c>
      <c r="L489" s="32">
        <f>IF($A489="","",C489*SUMIFS(Settings!$B$21:$B$25,Settings!$A$21:$A$25,SUMPRODUCT(MAX((Settings!$A$21:$A$25&lt;=$A489)*Settings!$A$21:$A$25)))+D489*SUMIFS(Settings!$C$21:$C$25,Settings!$A$21:$A$25,SUMPRODUCT(MAX((Settings!$A$21:$A$25&lt;=$A489)*Settings!$A$21:$A$25))))</f>
      </c>
      <c r="M489" s="32">
        <f>IF($A489="","",L489*IFERROR(INDEX(Settings!$B$30:$B$36,MATCH($B489,Settings!$A$30:$A$36,0)),0))</f>
      </c>
      <c r="N489" s="32">
        <f t="shared" si="36"/>
      </c>
      <c r="O489" s="33">
        <f t="shared" si="37"/>
      </c>
      <c r="P489" s="32">
        <f t="shared" si="38"/>
      </c>
      <c r="Q489" s="33">
        <f t="shared" si="39"/>
      </c>
    </row>
    <row r="490" spans="1:17" x14ac:dyDescent="0.25">
      <c r="A490" s="22"/>
      <c r="B490" s="5"/>
      <c r="C490" s="5"/>
      <c r="D490" s="5"/>
      <c r="E490" s="5"/>
      <c r="F490" s="5"/>
      <c r="G490" s="5"/>
      <c r="H490" s="23"/>
      <c r="I490" s="23"/>
      <c r="J490" s="5"/>
      <c r="K490" s="31">
        <f t="shared" si="35"/>
      </c>
      <c r="L490" s="32">
        <f>IF($A490="","",C490*SUMIFS(Settings!$B$21:$B$25,Settings!$A$21:$A$25,SUMPRODUCT(MAX((Settings!$A$21:$A$25&lt;=$A490)*Settings!$A$21:$A$25)))+D490*SUMIFS(Settings!$C$21:$C$25,Settings!$A$21:$A$25,SUMPRODUCT(MAX((Settings!$A$21:$A$25&lt;=$A490)*Settings!$A$21:$A$25))))</f>
      </c>
      <c r="M490" s="32">
        <f>IF($A490="","",L490*IFERROR(INDEX(Settings!$B$30:$B$36,MATCH($B490,Settings!$A$30:$A$36,0)),0))</f>
      </c>
      <c r="N490" s="32">
        <f t="shared" si="36"/>
      </c>
      <c r="O490" s="33">
        <f t="shared" si="37"/>
      </c>
      <c r="P490" s="32">
        <f t="shared" si="38"/>
      </c>
      <c r="Q490" s="33">
        <f t="shared" si="39"/>
      </c>
    </row>
    <row r="491" spans="1:17" x14ac:dyDescent="0.25">
      <c r="A491" s="22"/>
      <c r="B491" s="5"/>
      <c r="C491" s="5"/>
      <c r="D491" s="5"/>
      <c r="E491" s="5"/>
      <c r="F491" s="5"/>
      <c r="G491" s="5"/>
      <c r="H491" s="23"/>
      <c r="I491" s="23"/>
      <c r="J491" s="5"/>
      <c r="K491" s="31">
        <f t="shared" si="35"/>
      </c>
      <c r="L491" s="32">
        <f>IF($A491="","",C491*SUMIFS(Settings!$B$21:$B$25,Settings!$A$21:$A$25,SUMPRODUCT(MAX((Settings!$A$21:$A$25&lt;=$A491)*Settings!$A$21:$A$25)))+D491*SUMIFS(Settings!$C$21:$C$25,Settings!$A$21:$A$25,SUMPRODUCT(MAX((Settings!$A$21:$A$25&lt;=$A491)*Settings!$A$21:$A$25))))</f>
      </c>
      <c r="M491" s="32">
        <f>IF($A491="","",L491*IFERROR(INDEX(Settings!$B$30:$B$36,MATCH($B491,Settings!$A$30:$A$36,0)),0))</f>
      </c>
      <c r="N491" s="32">
        <f t="shared" si="36"/>
      </c>
      <c r="O491" s="33">
        <f t="shared" si="37"/>
      </c>
      <c r="P491" s="32">
        <f t="shared" si="38"/>
      </c>
      <c r="Q491" s="33">
        <f t="shared" si="39"/>
      </c>
    </row>
    <row r="492" spans="1:17" x14ac:dyDescent="0.25">
      <c r="A492" s="22"/>
      <c r="B492" s="5"/>
      <c r="C492" s="5"/>
      <c r="D492" s="5"/>
      <c r="E492" s="5"/>
      <c r="F492" s="5"/>
      <c r="G492" s="5"/>
      <c r="H492" s="23"/>
      <c r="I492" s="23"/>
      <c r="J492" s="5"/>
      <c r="K492" s="31">
        <f t="shared" si="35"/>
      </c>
      <c r="L492" s="32">
        <f>IF($A492="","",C492*SUMIFS(Settings!$B$21:$B$25,Settings!$A$21:$A$25,SUMPRODUCT(MAX((Settings!$A$21:$A$25&lt;=$A492)*Settings!$A$21:$A$25)))+D492*SUMIFS(Settings!$C$21:$C$25,Settings!$A$21:$A$25,SUMPRODUCT(MAX((Settings!$A$21:$A$25&lt;=$A492)*Settings!$A$21:$A$25))))</f>
      </c>
      <c r="M492" s="32">
        <f>IF($A492="","",L492*IFERROR(INDEX(Settings!$B$30:$B$36,MATCH($B492,Settings!$A$30:$A$36,0)),0))</f>
      </c>
      <c r="N492" s="32">
        <f t="shared" si="36"/>
      </c>
      <c r="O492" s="33">
        <f t="shared" si="37"/>
      </c>
      <c r="P492" s="32">
        <f t="shared" si="38"/>
      </c>
      <c r="Q492" s="33">
        <f t="shared" si="39"/>
      </c>
    </row>
    <row r="493" spans="1:17" x14ac:dyDescent="0.25">
      <c r="A493" s="22"/>
      <c r="B493" s="5"/>
      <c r="C493" s="5"/>
      <c r="D493" s="5"/>
      <c r="E493" s="5"/>
      <c r="F493" s="5"/>
      <c r="G493" s="5"/>
      <c r="H493" s="23"/>
      <c r="I493" s="23"/>
      <c r="J493" s="5"/>
      <c r="K493" s="31">
        <f t="shared" si="35"/>
      </c>
      <c r="L493" s="32">
        <f>IF($A493="","",C493*SUMIFS(Settings!$B$21:$B$25,Settings!$A$21:$A$25,SUMPRODUCT(MAX((Settings!$A$21:$A$25&lt;=$A493)*Settings!$A$21:$A$25)))+D493*SUMIFS(Settings!$C$21:$C$25,Settings!$A$21:$A$25,SUMPRODUCT(MAX((Settings!$A$21:$A$25&lt;=$A493)*Settings!$A$21:$A$25))))</f>
      </c>
      <c r="M493" s="32">
        <f>IF($A493="","",L493*IFERROR(INDEX(Settings!$B$30:$B$36,MATCH($B493,Settings!$A$30:$A$36,0)),0))</f>
      </c>
      <c r="N493" s="32">
        <f t="shared" si="36"/>
      </c>
      <c r="O493" s="33">
        <f t="shared" si="37"/>
      </c>
      <c r="P493" s="32">
        <f t="shared" si="38"/>
      </c>
      <c r="Q493" s="33">
        <f t="shared" si="39"/>
      </c>
    </row>
    <row r="494" spans="1:17" x14ac:dyDescent="0.25">
      <c r="A494" s="22"/>
      <c r="B494" s="5"/>
      <c r="C494" s="5"/>
      <c r="D494" s="5"/>
      <c r="E494" s="5"/>
      <c r="F494" s="5"/>
      <c r="G494" s="5"/>
      <c r="H494" s="23"/>
      <c r="I494" s="23"/>
      <c r="J494" s="5"/>
      <c r="K494" s="31">
        <f t="shared" si="35"/>
      </c>
      <c r="L494" s="32">
        <f>IF($A494="","",C494*SUMIFS(Settings!$B$21:$B$25,Settings!$A$21:$A$25,SUMPRODUCT(MAX((Settings!$A$21:$A$25&lt;=$A494)*Settings!$A$21:$A$25)))+D494*SUMIFS(Settings!$C$21:$C$25,Settings!$A$21:$A$25,SUMPRODUCT(MAX((Settings!$A$21:$A$25&lt;=$A494)*Settings!$A$21:$A$25))))</f>
      </c>
      <c r="M494" s="32">
        <f>IF($A494="","",L494*IFERROR(INDEX(Settings!$B$30:$B$36,MATCH($B494,Settings!$A$30:$A$36,0)),0))</f>
      </c>
      <c r="N494" s="32">
        <f t="shared" si="36"/>
      </c>
      <c r="O494" s="33">
        <f t="shared" si="37"/>
      </c>
      <c r="P494" s="32">
        <f t="shared" si="38"/>
      </c>
      <c r="Q494" s="33">
        <f t="shared" si="39"/>
      </c>
    </row>
    <row r="495" spans="1:17" x14ac:dyDescent="0.25">
      <c r="A495" s="22"/>
      <c r="B495" s="5"/>
      <c r="C495" s="5"/>
      <c r="D495" s="5"/>
      <c r="E495" s="5"/>
      <c r="F495" s="5"/>
      <c r="G495" s="5"/>
      <c r="H495" s="23"/>
      <c r="I495" s="23"/>
      <c r="J495" s="5"/>
      <c r="K495" s="31">
        <f t="shared" si="35"/>
      </c>
      <c r="L495" s="32">
        <f>IF($A495="","",C495*SUMIFS(Settings!$B$21:$B$25,Settings!$A$21:$A$25,SUMPRODUCT(MAX((Settings!$A$21:$A$25&lt;=$A495)*Settings!$A$21:$A$25)))+D495*SUMIFS(Settings!$C$21:$C$25,Settings!$A$21:$A$25,SUMPRODUCT(MAX((Settings!$A$21:$A$25&lt;=$A495)*Settings!$A$21:$A$25))))</f>
      </c>
      <c r="M495" s="32">
        <f>IF($A495="","",L495*IFERROR(INDEX(Settings!$B$30:$B$36,MATCH($B495,Settings!$A$30:$A$36,0)),0))</f>
      </c>
      <c r="N495" s="32">
        <f t="shared" si="36"/>
      </c>
      <c r="O495" s="33">
        <f t="shared" si="37"/>
      </c>
      <c r="P495" s="32">
        <f t="shared" si="38"/>
      </c>
      <c r="Q495" s="33">
        <f t="shared" si="39"/>
      </c>
    </row>
    <row r="496" spans="1:17" x14ac:dyDescent="0.25">
      <c r="A496" s="22"/>
      <c r="B496" s="5"/>
      <c r="C496" s="5"/>
      <c r="D496" s="5"/>
      <c r="E496" s="5"/>
      <c r="F496" s="5"/>
      <c r="G496" s="5"/>
      <c r="H496" s="23"/>
      <c r="I496" s="23"/>
      <c r="J496" s="5"/>
      <c r="K496" s="31">
        <f t="shared" si="35"/>
      </c>
      <c r="L496" s="32">
        <f>IF($A496="","",C496*SUMIFS(Settings!$B$21:$B$25,Settings!$A$21:$A$25,SUMPRODUCT(MAX((Settings!$A$21:$A$25&lt;=$A496)*Settings!$A$21:$A$25)))+D496*SUMIFS(Settings!$C$21:$C$25,Settings!$A$21:$A$25,SUMPRODUCT(MAX((Settings!$A$21:$A$25&lt;=$A496)*Settings!$A$21:$A$25))))</f>
      </c>
      <c r="M496" s="32">
        <f>IF($A496="","",L496*IFERROR(INDEX(Settings!$B$30:$B$36,MATCH($B496,Settings!$A$30:$A$36,0)),0))</f>
      </c>
      <c r="N496" s="32">
        <f t="shared" si="36"/>
      </c>
      <c r="O496" s="33">
        <f t="shared" si="37"/>
      </c>
      <c r="P496" s="32">
        <f t="shared" si="38"/>
      </c>
      <c r="Q496" s="33">
        <f t="shared" si="39"/>
      </c>
    </row>
    <row r="497" spans="1:17" x14ac:dyDescent="0.25">
      <c r="A497" s="22"/>
      <c r="B497" s="5"/>
      <c r="C497" s="5"/>
      <c r="D497" s="5"/>
      <c r="E497" s="5"/>
      <c r="F497" s="5"/>
      <c r="G497" s="5"/>
      <c r="H497" s="23"/>
      <c r="I497" s="23"/>
      <c r="J497" s="5"/>
      <c r="K497" s="31">
        <f t="shared" si="35"/>
      </c>
      <c r="L497" s="32">
        <f>IF($A497="","",C497*SUMIFS(Settings!$B$21:$B$25,Settings!$A$21:$A$25,SUMPRODUCT(MAX((Settings!$A$21:$A$25&lt;=$A497)*Settings!$A$21:$A$25)))+D497*SUMIFS(Settings!$C$21:$C$25,Settings!$A$21:$A$25,SUMPRODUCT(MAX((Settings!$A$21:$A$25&lt;=$A497)*Settings!$A$21:$A$25))))</f>
      </c>
      <c r="M497" s="32">
        <f>IF($A497="","",L497*IFERROR(INDEX(Settings!$B$30:$B$36,MATCH($B497,Settings!$A$30:$A$36,0)),0))</f>
      </c>
      <c r="N497" s="32">
        <f t="shared" si="36"/>
      </c>
      <c r="O497" s="33">
        <f t="shared" si="37"/>
      </c>
      <c r="P497" s="32">
        <f t="shared" si="38"/>
      </c>
      <c r="Q497" s="33">
        <f t="shared" si="39"/>
      </c>
    </row>
    <row r="498" spans="1:17" x14ac:dyDescent="0.25">
      <c r="A498" s="22"/>
      <c r="B498" s="5"/>
      <c r="C498" s="5"/>
      <c r="D498" s="5"/>
      <c r="E498" s="5"/>
      <c r="F498" s="5"/>
      <c r="G498" s="5"/>
      <c r="H498" s="23"/>
      <c r="I498" s="23"/>
      <c r="J498" s="5"/>
      <c r="K498" s="31">
        <f t="shared" si="35"/>
      </c>
      <c r="L498" s="32">
        <f>IF($A498="","",C498*SUMIFS(Settings!$B$21:$B$25,Settings!$A$21:$A$25,SUMPRODUCT(MAX((Settings!$A$21:$A$25&lt;=$A498)*Settings!$A$21:$A$25)))+D498*SUMIFS(Settings!$C$21:$C$25,Settings!$A$21:$A$25,SUMPRODUCT(MAX((Settings!$A$21:$A$25&lt;=$A498)*Settings!$A$21:$A$25))))</f>
      </c>
      <c r="M498" s="32">
        <f>IF($A498="","",L498*IFERROR(INDEX(Settings!$B$30:$B$36,MATCH($B498,Settings!$A$30:$A$36,0)),0))</f>
      </c>
      <c r="N498" s="32">
        <f t="shared" si="36"/>
      </c>
      <c r="O498" s="33">
        <f t="shared" si="37"/>
      </c>
      <c r="P498" s="32">
        <f t="shared" si="38"/>
      </c>
      <c r="Q498" s="33">
        <f t="shared" si="39"/>
      </c>
    </row>
    <row r="499" spans="1:17" x14ac:dyDescent="0.25">
      <c r="A499" s="22"/>
      <c r="B499" s="5"/>
      <c r="C499" s="5"/>
      <c r="D499" s="5"/>
      <c r="E499" s="5"/>
      <c r="F499" s="5"/>
      <c r="G499" s="5"/>
      <c r="H499" s="23"/>
      <c r="I499" s="23"/>
      <c r="J499" s="5"/>
      <c r="K499" s="31">
        <f t="shared" si="35"/>
      </c>
      <c r="L499" s="32">
        <f>IF($A499="","",C499*SUMIFS(Settings!$B$21:$B$25,Settings!$A$21:$A$25,SUMPRODUCT(MAX((Settings!$A$21:$A$25&lt;=$A499)*Settings!$A$21:$A$25)))+D499*SUMIFS(Settings!$C$21:$C$25,Settings!$A$21:$A$25,SUMPRODUCT(MAX((Settings!$A$21:$A$25&lt;=$A499)*Settings!$A$21:$A$25))))</f>
      </c>
      <c r="M499" s="32">
        <f>IF($A499="","",L499*IFERROR(INDEX(Settings!$B$30:$B$36,MATCH($B499,Settings!$A$30:$A$36,0)),0))</f>
      </c>
      <c r="N499" s="32">
        <f t="shared" si="36"/>
      </c>
      <c r="O499" s="33">
        <f t="shared" si="37"/>
      </c>
      <c r="P499" s="32">
        <f t="shared" si="38"/>
      </c>
      <c r="Q499" s="33">
        <f t="shared" si="39"/>
      </c>
    </row>
    <row r="500" spans="1:17" x14ac:dyDescent="0.25">
      <c r="A500" s="22"/>
      <c r="B500" s="5"/>
      <c r="C500" s="5"/>
      <c r="D500" s="5"/>
      <c r="E500" s="5"/>
      <c r="F500" s="5"/>
      <c r="G500" s="5"/>
      <c r="H500" s="23"/>
      <c r="I500" s="23"/>
      <c r="J500" s="5"/>
      <c r="K500" s="31">
        <f t="shared" si="35"/>
      </c>
      <c r="L500" s="32">
        <f>IF($A500="","",C500*SUMIFS(Settings!$B$21:$B$25,Settings!$A$21:$A$25,SUMPRODUCT(MAX((Settings!$A$21:$A$25&lt;=$A500)*Settings!$A$21:$A$25)))+D500*SUMIFS(Settings!$C$21:$C$25,Settings!$A$21:$A$25,SUMPRODUCT(MAX((Settings!$A$21:$A$25&lt;=$A500)*Settings!$A$21:$A$25))))</f>
      </c>
      <c r="M500" s="32">
        <f>IF($A500="","",L500*IFERROR(INDEX(Settings!$B$30:$B$36,MATCH($B500,Settings!$A$30:$A$36,0)),0))</f>
      </c>
      <c r="N500" s="32">
        <f t="shared" si="36"/>
      </c>
      <c r="O500" s="33">
        <f t="shared" si="37"/>
      </c>
      <c r="P500" s="32">
        <f t="shared" si="38"/>
      </c>
      <c r="Q500" s="33">
        <f t="shared" si="39"/>
      </c>
    </row>
    <row r="501" spans="1:17" x14ac:dyDescent="0.25">
      <c r="A501" s="22"/>
      <c r="B501" s="5"/>
      <c r="C501" s="5"/>
      <c r="D501" s="5"/>
      <c r="E501" s="5"/>
      <c r="F501" s="5"/>
      <c r="G501" s="5"/>
      <c r="H501" s="23"/>
      <c r="I501" s="23"/>
      <c r="J501" s="5"/>
      <c r="K501" s="31">
        <f t="shared" si="35"/>
      </c>
      <c r="L501" s="32">
        <f>IF($A501="","",C501*SUMIFS(Settings!$B$21:$B$25,Settings!$A$21:$A$25,SUMPRODUCT(MAX((Settings!$A$21:$A$25&lt;=$A501)*Settings!$A$21:$A$25)))+D501*SUMIFS(Settings!$C$21:$C$25,Settings!$A$21:$A$25,SUMPRODUCT(MAX((Settings!$A$21:$A$25&lt;=$A501)*Settings!$A$21:$A$25))))</f>
      </c>
      <c r="M501" s="32">
        <f>IF($A501="","",L501*IFERROR(INDEX(Settings!$B$30:$B$36,MATCH($B501,Settings!$A$30:$A$36,0)),0))</f>
      </c>
      <c r="N501" s="32">
        <f t="shared" si="36"/>
      </c>
      <c r="O501" s="33">
        <f t="shared" si="37"/>
      </c>
      <c r="P501" s="32">
        <f t="shared" si="38"/>
      </c>
      <c r="Q501" s="33">
        <f t="shared" si="39"/>
      </c>
    </row>
    <row r="502" spans="1:17" x14ac:dyDescent="0.25">
      <c r="A502" s="22"/>
      <c r="B502" s="5"/>
      <c r="C502" s="5"/>
      <c r="D502" s="5"/>
      <c r="E502" s="5"/>
      <c r="F502" s="5"/>
      <c r="G502" s="5"/>
      <c r="H502" s="23"/>
      <c r="I502" s="23"/>
      <c r="J502" s="5"/>
      <c r="K502" s="31">
        <f t="shared" si="35"/>
      </c>
      <c r="L502" s="32">
        <f>IF($A502="","",C502*SUMIFS(Settings!$B$21:$B$25,Settings!$A$21:$A$25,SUMPRODUCT(MAX((Settings!$A$21:$A$25&lt;=$A502)*Settings!$A$21:$A$25)))+D502*SUMIFS(Settings!$C$21:$C$25,Settings!$A$21:$A$25,SUMPRODUCT(MAX((Settings!$A$21:$A$25&lt;=$A502)*Settings!$A$21:$A$25))))</f>
      </c>
      <c r="M502" s="32">
        <f>IF($A502="","",L502*IFERROR(INDEX(Settings!$B$30:$B$36,MATCH($B502,Settings!$A$30:$A$36,0)),0))</f>
      </c>
      <c r="N502" s="32">
        <f t="shared" si="36"/>
      </c>
      <c r="O502" s="33">
        <f t="shared" si="37"/>
      </c>
      <c r="P502" s="32">
        <f t="shared" si="38"/>
      </c>
      <c r="Q502" s="33">
        <f t="shared" si="39"/>
      </c>
    </row>
    <row r="503" spans="1:17" x14ac:dyDescent="0.25">
      <c r="A503" s="22"/>
      <c r="B503" s="5"/>
      <c r="C503" s="5"/>
      <c r="D503" s="5"/>
      <c r="E503" s="5"/>
      <c r="F503" s="5"/>
      <c r="G503" s="5"/>
      <c r="H503" s="23"/>
      <c r="I503" s="23"/>
      <c r="J503" s="5"/>
      <c r="K503" s="31">
        <f t="shared" si="35"/>
      </c>
      <c r="L503" s="32">
        <f>IF($A503="","",C503*SUMIFS(Settings!$B$21:$B$25,Settings!$A$21:$A$25,SUMPRODUCT(MAX((Settings!$A$21:$A$25&lt;=$A503)*Settings!$A$21:$A$25)))+D503*SUMIFS(Settings!$C$21:$C$25,Settings!$A$21:$A$25,SUMPRODUCT(MAX((Settings!$A$21:$A$25&lt;=$A503)*Settings!$A$21:$A$25))))</f>
      </c>
      <c r="M503" s="32">
        <f>IF($A503="","",L503*IFERROR(INDEX(Settings!$B$30:$B$36,MATCH($B503,Settings!$A$30:$A$36,0)),0))</f>
      </c>
      <c r="N503" s="32">
        <f t="shared" si="36"/>
      </c>
      <c r="O503" s="33">
        <f t="shared" si="37"/>
      </c>
      <c r="P503" s="32">
        <f t="shared" si="38"/>
      </c>
      <c r="Q503" s="33">
        <f t="shared" si="39"/>
      </c>
    </row>
    <row r="504" spans="1:17" x14ac:dyDescent="0.25">
      <c r="A504" s="22"/>
      <c r="B504" s="5"/>
      <c r="C504" s="5"/>
      <c r="D504" s="5"/>
      <c r="E504" s="5"/>
      <c r="F504" s="5"/>
      <c r="G504" s="5"/>
      <c r="H504" s="23"/>
      <c r="I504" s="23"/>
      <c r="J504" s="5"/>
      <c r="K504" s="31">
        <f t="shared" si="35"/>
      </c>
      <c r="L504" s="32">
        <f>IF($A504="","",C504*SUMIFS(Settings!$B$21:$B$25,Settings!$A$21:$A$25,SUMPRODUCT(MAX((Settings!$A$21:$A$25&lt;=$A504)*Settings!$A$21:$A$25)))+D504*SUMIFS(Settings!$C$21:$C$25,Settings!$A$21:$A$25,SUMPRODUCT(MAX((Settings!$A$21:$A$25&lt;=$A504)*Settings!$A$21:$A$25))))</f>
      </c>
      <c r="M504" s="32">
        <f>IF($A504="","",L504*IFERROR(INDEX(Settings!$B$30:$B$36,MATCH($B504,Settings!$A$30:$A$36,0)),0))</f>
      </c>
      <c r="N504" s="32">
        <f t="shared" si="36"/>
      </c>
      <c r="O504" s="33">
        <f t="shared" si="37"/>
      </c>
      <c r="P504" s="32">
        <f t="shared" si="38"/>
      </c>
      <c r="Q504" s="33">
        <f t="shared" si="39"/>
      </c>
    </row>
    <row r="505" spans="1:17" x14ac:dyDescent="0.25">
      <c r="A505" s="22"/>
      <c r="B505" s="5"/>
      <c r="C505" s="5"/>
      <c r="D505" s="5"/>
      <c r="E505" s="5"/>
      <c r="F505" s="5"/>
      <c r="G505" s="5"/>
      <c r="H505" s="23"/>
      <c r="I505" s="23"/>
      <c r="J505" s="5"/>
      <c r="K505" s="31">
        <f t="shared" si="35"/>
      </c>
      <c r="L505" s="32">
        <f>IF($A505="","",C505*SUMIFS(Settings!$B$21:$B$25,Settings!$A$21:$A$25,SUMPRODUCT(MAX((Settings!$A$21:$A$25&lt;=$A505)*Settings!$A$21:$A$25)))+D505*SUMIFS(Settings!$C$21:$C$25,Settings!$A$21:$A$25,SUMPRODUCT(MAX((Settings!$A$21:$A$25&lt;=$A505)*Settings!$A$21:$A$25))))</f>
      </c>
      <c r="M505" s="32">
        <f>IF($A505="","",L505*IFERROR(INDEX(Settings!$B$30:$B$36,MATCH($B505,Settings!$A$30:$A$36,0)),0))</f>
      </c>
      <c r="N505" s="32">
        <f t="shared" si="36"/>
      </c>
      <c r="O505" s="33">
        <f t="shared" si="37"/>
      </c>
      <c r="P505" s="32">
        <f t="shared" si="38"/>
      </c>
      <c r="Q505" s="33">
        <f t="shared" si="39"/>
      </c>
    </row>
    <row r="506" spans="1:17" x14ac:dyDescent="0.25">
      <c r="A506" s="22"/>
      <c r="B506" s="5"/>
      <c r="C506" s="5"/>
      <c r="D506" s="5"/>
      <c r="E506" s="5"/>
      <c r="F506" s="5"/>
      <c r="G506" s="5"/>
      <c r="H506" s="23"/>
      <c r="I506" s="23"/>
      <c r="J506" s="5"/>
      <c r="K506" s="31">
        <f t="shared" si="35"/>
      </c>
      <c r="L506" s="32">
        <f>IF($A506="","",C506*SUMIFS(Settings!$B$21:$B$25,Settings!$A$21:$A$25,SUMPRODUCT(MAX((Settings!$A$21:$A$25&lt;=$A506)*Settings!$A$21:$A$25)))+D506*SUMIFS(Settings!$C$21:$C$25,Settings!$A$21:$A$25,SUMPRODUCT(MAX((Settings!$A$21:$A$25&lt;=$A506)*Settings!$A$21:$A$25))))</f>
      </c>
      <c r="M506" s="32">
        <f>IF($A506="","",L506*IFERROR(INDEX(Settings!$B$30:$B$36,MATCH($B506,Settings!$A$30:$A$36,0)),0))</f>
      </c>
      <c r="N506" s="32">
        <f t="shared" si="36"/>
      </c>
      <c r="O506" s="33">
        <f t="shared" si="37"/>
      </c>
      <c r="P506" s="32">
        <f t="shared" si="38"/>
      </c>
      <c r="Q506" s="33">
        <f t="shared" si="39"/>
      </c>
    </row>
    <row r="507" spans="1:17" x14ac:dyDescent="0.25">
      <c r="A507" s="22"/>
      <c r="B507" s="5"/>
      <c r="C507" s="5"/>
      <c r="D507" s="5"/>
      <c r="E507" s="5"/>
      <c r="F507" s="5"/>
      <c r="G507" s="5"/>
      <c r="H507" s="23"/>
      <c r="I507" s="23"/>
      <c r="J507" s="5"/>
      <c r="K507" s="31">
        <f t="shared" si="35"/>
      </c>
      <c r="L507" s="32">
        <f>IF($A507="","",C507*SUMIFS(Settings!$B$21:$B$25,Settings!$A$21:$A$25,SUMPRODUCT(MAX((Settings!$A$21:$A$25&lt;=$A507)*Settings!$A$21:$A$25)))+D507*SUMIFS(Settings!$C$21:$C$25,Settings!$A$21:$A$25,SUMPRODUCT(MAX((Settings!$A$21:$A$25&lt;=$A507)*Settings!$A$21:$A$25))))</f>
      </c>
      <c r="M507" s="32">
        <f>IF($A507="","",L507*IFERROR(INDEX(Settings!$B$30:$B$36,MATCH($B507,Settings!$A$30:$A$36,0)),0))</f>
      </c>
      <c r="N507" s="32">
        <f t="shared" si="36"/>
      </c>
      <c r="O507" s="33">
        <f t="shared" si="37"/>
      </c>
      <c r="P507" s="32">
        <f t="shared" si="38"/>
      </c>
      <c r="Q507" s="33">
        <f t="shared" si="39"/>
      </c>
    </row>
    <row r="508" spans="1:17" x14ac:dyDescent="0.25">
      <c r="A508" s="22"/>
      <c r="B508" s="5"/>
      <c r="C508" s="5"/>
      <c r="D508" s="5"/>
      <c r="E508" s="5"/>
      <c r="F508" s="5"/>
      <c r="G508" s="5"/>
      <c r="H508" s="23"/>
      <c r="I508" s="23"/>
      <c r="J508" s="5"/>
      <c r="K508" s="31">
        <f t="shared" si="35"/>
      </c>
      <c r="L508" s="32">
        <f>IF($A508="","",C508*SUMIFS(Settings!$B$21:$B$25,Settings!$A$21:$A$25,SUMPRODUCT(MAX((Settings!$A$21:$A$25&lt;=$A508)*Settings!$A$21:$A$25)))+D508*SUMIFS(Settings!$C$21:$C$25,Settings!$A$21:$A$25,SUMPRODUCT(MAX((Settings!$A$21:$A$25&lt;=$A508)*Settings!$A$21:$A$25))))</f>
      </c>
      <c r="M508" s="32">
        <f>IF($A508="","",L508*IFERROR(INDEX(Settings!$B$30:$B$36,MATCH($B508,Settings!$A$30:$A$36,0)),0))</f>
      </c>
      <c r="N508" s="32">
        <f t="shared" si="36"/>
      </c>
      <c r="O508" s="33">
        <f t="shared" si="37"/>
      </c>
      <c r="P508" s="32">
        <f t="shared" si="38"/>
      </c>
      <c r="Q508" s="33">
        <f t="shared" si="39"/>
      </c>
    </row>
    <row r="509" spans="1:17" x14ac:dyDescent="0.25">
      <c r="A509" s="22"/>
      <c r="B509" s="5"/>
      <c r="C509" s="5"/>
      <c r="D509" s="5"/>
      <c r="E509" s="5"/>
      <c r="F509" s="5"/>
      <c r="G509" s="5"/>
      <c r="H509" s="23"/>
      <c r="I509" s="23"/>
      <c r="J509" s="5"/>
      <c r="K509" s="31">
        <f t="shared" si="35"/>
      </c>
      <c r="L509" s="32">
        <f>IF($A509="","",C509*SUMIFS(Settings!$B$21:$B$25,Settings!$A$21:$A$25,SUMPRODUCT(MAX((Settings!$A$21:$A$25&lt;=$A509)*Settings!$A$21:$A$25)))+D509*SUMIFS(Settings!$C$21:$C$25,Settings!$A$21:$A$25,SUMPRODUCT(MAX((Settings!$A$21:$A$25&lt;=$A509)*Settings!$A$21:$A$25))))</f>
      </c>
      <c r="M509" s="32">
        <f>IF($A509="","",L509*IFERROR(INDEX(Settings!$B$30:$B$36,MATCH($B509,Settings!$A$30:$A$36,0)),0))</f>
      </c>
      <c r="N509" s="32">
        <f t="shared" si="36"/>
      </c>
      <c r="O509" s="33">
        <f t="shared" si="37"/>
      </c>
      <c r="P509" s="32">
        <f t="shared" si="38"/>
      </c>
      <c r="Q509" s="33">
        <f t="shared" si="39"/>
      </c>
    </row>
    <row r="510" spans="1:17" x14ac:dyDescent="0.25">
      <c r="A510" s="22"/>
      <c r="B510" s="5"/>
      <c r="C510" s="5"/>
      <c r="D510" s="5"/>
      <c r="E510" s="5"/>
      <c r="F510" s="5"/>
      <c r="G510" s="5"/>
      <c r="H510" s="23"/>
      <c r="I510" s="23"/>
      <c r="J510" s="5"/>
      <c r="K510" s="31">
        <f t="shared" si="35"/>
      </c>
      <c r="L510" s="32">
        <f>IF($A510="","",C510*SUMIFS(Settings!$B$21:$B$25,Settings!$A$21:$A$25,SUMPRODUCT(MAX((Settings!$A$21:$A$25&lt;=$A510)*Settings!$A$21:$A$25)))+D510*SUMIFS(Settings!$C$21:$C$25,Settings!$A$21:$A$25,SUMPRODUCT(MAX((Settings!$A$21:$A$25&lt;=$A510)*Settings!$A$21:$A$25))))</f>
      </c>
      <c r="M510" s="32">
        <f>IF($A510="","",L510*IFERROR(INDEX(Settings!$B$30:$B$36,MATCH($B510,Settings!$A$30:$A$36,0)),0))</f>
      </c>
      <c r="N510" s="32">
        <f t="shared" si="36"/>
      </c>
      <c r="O510" s="33">
        <f t="shared" si="37"/>
      </c>
      <c r="P510" s="32">
        <f t="shared" si="38"/>
      </c>
      <c r="Q510" s="33">
        <f t="shared" si="39"/>
      </c>
    </row>
    <row r="511" spans="1:17" x14ac:dyDescent="0.25">
      <c r="A511" s="22"/>
      <c r="B511" s="5"/>
      <c r="C511" s="5"/>
      <c r="D511" s="5"/>
      <c r="E511" s="5"/>
      <c r="F511" s="5"/>
      <c r="G511" s="5"/>
      <c r="H511" s="23"/>
      <c r="I511" s="23"/>
      <c r="J511" s="5"/>
      <c r="K511" s="31">
        <f t="shared" si="35"/>
      </c>
      <c r="L511" s="32">
        <f>IF($A511="","",C511*SUMIFS(Settings!$B$21:$B$25,Settings!$A$21:$A$25,SUMPRODUCT(MAX((Settings!$A$21:$A$25&lt;=$A511)*Settings!$A$21:$A$25)))+D511*SUMIFS(Settings!$C$21:$C$25,Settings!$A$21:$A$25,SUMPRODUCT(MAX((Settings!$A$21:$A$25&lt;=$A511)*Settings!$A$21:$A$25))))</f>
      </c>
      <c r="M511" s="32">
        <f>IF($A511="","",L511*IFERROR(INDEX(Settings!$B$30:$B$36,MATCH($B511,Settings!$A$30:$A$36,0)),0))</f>
      </c>
      <c r="N511" s="32">
        <f t="shared" si="36"/>
      </c>
      <c r="O511" s="33">
        <f t="shared" si="37"/>
      </c>
      <c r="P511" s="32">
        <f t="shared" si="38"/>
      </c>
      <c r="Q511" s="33">
        <f t="shared" si="39"/>
      </c>
    </row>
    <row r="512" spans="1:17" x14ac:dyDescent="0.25">
      <c r="A512" s="22"/>
      <c r="B512" s="5"/>
      <c r="C512" s="5"/>
      <c r="D512" s="5"/>
      <c r="E512" s="5"/>
      <c r="F512" s="5"/>
      <c r="G512" s="5"/>
      <c r="H512" s="23"/>
      <c r="I512" s="23"/>
      <c r="J512" s="5"/>
      <c r="K512" s="31">
        <f t="shared" si="35"/>
      </c>
      <c r="L512" s="32">
        <f>IF($A512="","",C512*SUMIFS(Settings!$B$21:$B$25,Settings!$A$21:$A$25,SUMPRODUCT(MAX((Settings!$A$21:$A$25&lt;=$A512)*Settings!$A$21:$A$25)))+D512*SUMIFS(Settings!$C$21:$C$25,Settings!$A$21:$A$25,SUMPRODUCT(MAX((Settings!$A$21:$A$25&lt;=$A512)*Settings!$A$21:$A$25))))</f>
      </c>
      <c r="M512" s="32">
        <f>IF($A512="","",L512*IFERROR(INDEX(Settings!$B$30:$B$36,MATCH($B512,Settings!$A$30:$A$36,0)),0))</f>
      </c>
      <c r="N512" s="32">
        <f t="shared" si="36"/>
      </c>
      <c r="O512" s="33">
        <f t="shared" si="37"/>
      </c>
      <c r="P512" s="32">
        <f t="shared" si="38"/>
      </c>
      <c r="Q512" s="33">
        <f t="shared" si="39"/>
      </c>
    </row>
    <row r="513" spans="1:17" x14ac:dyDescent="0.25">
      <c r="A513" s="22"/>
      <c r="B513" s="5"/>
      <c r="C513" s="5"/>
      <c r="D513" s="5"/>
      <c r="E513" s="5"/>
      <c r="F513" s="5"/>
      <c r="G513" s="5"/>
      <c r="H513" s="23"/>
      <c r="I513" s="23"/>
      <c r="J513" s="5"/>
      <c r="K513" s="31">
        <f t="shared" si="35"/>
      </c>
      <c r="L513" s="32">
        <f>IF($A513="","",C513*SUMIFS(Settings!$B$21:$B$25,Settings!$A$21:$A$25,SUMPRODUCT(MAX((Settings!$A$21:$A$25&lt;=$A513)*Settings!$A$21:$A$25)))+D513*SUMIFS(Settings!$C$21:$C$25,Settings!$A$21:$A$25,SUMPRODUCT(MAX((Settings!$A$21:$A$25&lt;=$A513)*Settings!$A$21:$A$25))))</f>
      </c>
      <c r="M513" s="32">
        <f>IF($A513="","",L513*IFERROR(INDEX(Settings!$B$30:$B$36,MATCH($B513,Settings!$A$30:$A$36,0)),0))</f>
      </c>
      <c r="N513" s="32">
        <f t="shared" si="36"/>
      </c>
      <c r="O513" s="33">
        <f t="shared" si="37"/>
      </c>
      <c r="P513" s="32">
        <f t="shared" si="38"/>
      </c>
      <c r="Q513" s="33">
        <f t="shared" si="39"/>
      </c>
    </row>
    <row r="514" spans="1:17" x14ac:dyDescent="0.25">
      <c r="A514" s="22"/>
      <c r="B514" s="5"/>
      <c r="C514" s="5"/>
      <c r="D514" s="5"/>
      <c r="E514" s="5"/>
      <c r="F514" s="5"/>
      <c r="G514" s="5"/>
      <c r="H514" s="23"/>
      <c r="I514" s="23"/>
      <c r="J514" s="5"/>
      <c r="K514" s="31">
        <f t="shared" si="35"/>
      </c>
      <c r="L514" s="32">
        <f>IF($A514="","",C514*SUMIFS(Settings!$B$21:$B$25,Settings!$A$21:$A$25,SUMPRODUCT(MAX((Settings!$A$21:$A$25&lt;=$A514)*Settings!$A$21:$A$25)))+D514*SUMIFS(Settings!$C$21:$C$25,Settings!$A$21:$A$25,SUMPRODUCT(MAX((Settings!$A$21:$A$25&lt;=$A514)*Settings!$A$21:$A$25))))</f>
      </c>
      <c r="M514" s="32">
        <f>IF($A514="","",L514*IFERROR(INDEX(Settings!$B$30:$B$36,MATCH($B514,Settings!$A$30:$A$36,0)),0))</f>
      </c>
      <c r="N514" s="32">
        <f t="shared" si="36"/>
      </c>
      <c r="O514" s="33">
        <f t="shared" si="37"/>
      </c>
      <c r="P514" s="32">
        <f t="shared" si="38"/>
      </c>
      <c r="Q514" s="33">
        <f t="shared" si="39"/>
      </c>
    </row>
    <row r="515" spans="1:17" x14ac:dyDescent="0.25">
      <c r="A515" s="22"/>
      <c r="B515" s="5"/>
      <c r="C515" s="5"/>
      <c r="D515" s="5"/>
      <c r="E515" s="5"/>
      <c r="F515" s="5"/>
      <c r="G515" s="5"/>
      <c r="H515" s="23"/>
      <c r="I515" s="23"/>
      <c r="J515" s="5"/>
      <c r="K515" s="31">
        <f t="shared" si="35"/>
      </c>
      <c r="L515" s="32">
        <f>IF($A515="","",C515*SUMIFS(Settings!$B$21:$B$25,Settings!$A$21:$A$25,SUMPRODUCT(MAX((Settings!$A$21:$A$25&lt;=$A515)*Settings!$A$21:$A$25)))+D515*SUMIFS(Settings!$C$21:$C$25,Settings!$A$21:$A$25,SUMPRODUCT(MAX((Settings!$A$21:$A$25&lt;=$A515)*Settings!$A$21:$A$25))))</f>
      </c>
      <c r="M515" s="32">
        <f>IF($A515="","",L515*IFERROR(INDEX(Settings!$B$30:$B$36,MATCH($B515,Settings!$A$30:$A$36,0)),0))</f>
      </c>
      <c r="N515" s="32">
        <f t="shared" si="36"/>
      </c>
      <c r="O515" s="33">
        <f t="shared" si="37"/>
      </c>
      <c r="P515" s="32">
        <f t="shared" si="38"/>
      </c>
      <c r="Q515" s="33">
        <f t="shared" si="39"/>
      </c>
    </row>
    <row r="516" spans="1:17" x14ac:dyDescent="0.25">
      <c r="A516" s="22"/>
      <c r="B516" s="5"/>
      <c r="C516" s="5"/>
      <c r="D516" s="5"/>
      <c r="E516" s="5"/>
      <c r="F516" s="5"/>
      <c r="G516" s="5"/>
      <c r="H516" s="23"/>
      <c r="I516" s="23"/>
      <c r="J516" s="5"/>
      <c r="K516" s="31">
        <f t="shared" si="35"/>
      </c>
      <c r="L516" s="32">
        <f>IF($A516="","",C516*SUMIFS(Settings!$B$21:$B$25,Settings!$A$21:$A$25,SUMPRODUCT(MAX((Settings!$A$21:$A$25&lt;=$A516)*Settings!$A$21:$A$25)))+D516*SUMIFS(Settings!$C$21:$C$25,Settings!$A$21:$A$25,SUMPRODUCT(MAX((Settings!$A$21:$A$25&lt;=$A516)*Settings!$A$21:$A$25))))</f>
      </c>
      <c r="M516" s="32">
        <f>IF($A516="","",L516*IFERROR(INDEX(Settings!$B$30:$B$36,MATCH($B516,Settings!$A$30:$A$36,0)),0))</f>
      </c>
      <c r="N516" s="32">
        <f t="shared" si="36"/>
      </c>
      <c r="O516" s="33">
        <f t="shared" si="37"/>
      </c>
      <c r="P516" s="32">
        <f t="shared" si="38"/>
      </c>
      <c r="Q516" s="33">
        <f t="shared" si="39"/>
      </c>
    </row>
    <row r="517" spans="1:17" x14ac:dyDescent="0.25">
      <c r="A517" s="22"/>
      <c r="B517" s="5"/>
      <c r="C517" s="5"/>
      <c r="D517" s="5"/>
      <c r="E517" s="5"/>
      <c r="F517" s="5"/>
      <c r="G517" s="5"/>
      <c r="H517" s="23"/>
      <c r="I517" s="23"/>
      <c r="J517" s="5"/>
      <c r="K517" s="31">
        <f t="shared" si="35"/>
      </c>
      <c r="L517" s="32">
        <f>IF($A517="","",C517*SUMIFS(Settings!$B$21:$B$25,Settings!$A$21:$A$25,SUMPRODUCT(MAX((Settings!$A$21:$A$25&lt;=$A517)*Settings!$A$21:$A$25)))+D517*SUMIFS(Settings!$C$21:$C$25,Settings!$A$21:$A$25,SUMPRODUCT(MAX((Settings!$A$21:$A$25&lt;=$A517)*Settings!$A$21:$A$25))))</f>
      </c>
      <c r="M517" s="32">
        <f>IF($A517="","",L517*IFERROR(INDEX(Settings!$B$30:$B$36,MATCH($B517,Settings!$A$30:$A$36,0)),0))</f>
      </c>
      <c r="N517" s="32">
        <f t="shared" si="36"/>
      </c>
      <c r="O517" s="33">
        <f t="shared" si="37"/>
      </c>
      <c r="P517" s="32">
        <f t="shared" si="38"/>
      </c>
      <c r="Q517" s="33">
        <f t="shared" si="39"/>
      </c>
    </row>
    <row r="518" spans="1:17" x14ac:dyDescent="0.25">
      <c r="A518" s="22"/>
      <c r="B518" s="5"/>
      <c r="C518" s="5"/>
      <c r="D518" s="5"/>
      <c r="E518" s="5"/>
      <c r="F518" s="5"/>
      <c r="G518" s="5"/>
      <c r="H518" s="23"/>
      <c r="I518" s="23"/>
      <c r="J518" s="5"/>
      <c r="K518" s="31">
        <f t="shared" ref="K518:K581" si="40">IF($A518="","",C518+D518)</f>
      </c>
      <c r="L518" s="32">
        <f>IF($A518="","",C518*SUMIFS(Settings!$B$21:$B$25,Settings!$A$21:$A$25,SUMPRODUCT(MAX((Settings!$A$21:$A$25&lt;=$A518)*Settings!$A$21:$A$25)))+D518*SUMIFS(Settings!$C$21:$C$25,Settings!$A$21:$A$25,SUMPRODUCT(MAX((Settings!$A$21:$A$25&lt;=$A518)*Settings!$A$21:$A$25))))</f>
      </c>
      <c r="M518" s="32">
        <f>IF($A518="","",L518*IFERROR(INDEX(Settings!$B$30:$B$36,MATCH($B518,Settings!$A$30:$A$36,0)),0))</f>
      </c>
      <c r="N518" s="32">
        <f t="shared" ref="N518:N581" si="41">IF(OR($A518="",F518="",G518=""),"",(F518-G518)-(K518+E518))</f>
      </c>
      <c r="O518" s="33">
        <f t="shared" ref="O518:O581" si="42">IF(N518="","",IF(N518=0,"OK","CHECK"))</f>
      </c>
      <c r="P518" s="32">
        <f t="shared" ref="P518:P581" si="43">IF(OR($A518="",AND(H518="",I518="")),"",H518+I518-L518)</f>
      </c>
      <c r="Q518" s="33">
        <f t="shared" ref="Q518:Q581" si="44">IF(P518="","",IF(P518=0,"OK","CHECK"))</f>
      </c>
    </row>
    <row r="519" spans="1:17" x14ac:dyDescent="0.25">
      <c r="A519" s="22"/>
      <c r="B519" s="5"/>
      <c r="C519" s="5"/>
      <c r="D519" s="5"/>
      <c r="E519" s="5"/>
      <c r="F519" s="5"/>
      <c r="G519" s="5"/>
      <c r="H519" s="23"/>
      <c r="I519" s="23"/>
      <c r="J519" s="5"/>
      <c r="K519" s="31">
        <f t="shared" si="40"/>
      </c>
      <c r="L519" s="32">
        <f>IF($A519="","",C519*SUMIFS(Settings!$B$21:$B$25,Settings!$A$21:$A$25,SUMPRODUCT(MAX((Settings!$A$21:$A$25&lt;=$A519)*Settings!$A$21:$A$25)))+D519*SUMIFS(Settings!$C$21:$C$25,Settings!$A$21:$A$25,SUMPRODUCT(MAX((Settings!$A$21:$A$25&lt;=$A519)*Settings!$A$21:$A$25))))</f>
      </c>
      <c r="M519" s="32">
        <f>IF($A519="","",L519*IFERROR(INDEX(Settings!$B$30:$B$36,MATCH($B519,Settings!$A$30:$A$36,0)),0))</f>
      </c>
      <c r="N519" s="32">
        <f t="shared" si="41"/>
      </c>
      <c r="O519" s="33">
        <f t="shared" si="42"/>
      </c>
      <c r="P519" s="32">
        <f t="shared" si="43"/>
      </c>
      <c r="Q519" s="33">
        <f t="shared" si="44"/>
      </c>
    </row>
    <row r="520" spans="1:17" x14ac:dyDescent="0.25">
      <c r="A520" s="22"/>
      <c r="B520" s="5"/>
      <c r="C520" s="5"/>
      <c r="D520" s="5"/>
      <c r="E520" s="5"/>
      <c r="F520" s="5"/>
      <c r="G520" s="5"/>
      <c r="H520" s="23"/>
      <c r="I520" s="23"/>
      <c r="J520" s="5"/>
      <c r="K520" s="31">
        <f t="shared" si="40"/>
      </c>
      <c r="L520" s="32">
        <f>IF($A520="","",C520*SUMIFS(Settings!$B$21:$B$25,Settings!$A$21:$A$25,SUMPRODUCT(MAX((Settings!$A$21:$A$25&lt;=$A520)*Settings!$A$21:$A$25)))+D520*SUMIFS(Settings!$C$21:$C$25,Settings!$A$21:$A$25,SUMPRODUCT(MAX((Settings!$A$21:$A$25&lt;=$A520)*Settings!$A$21:$A$25))))</f>
      </c>
      <c r="M520" s="32">
        <f>IF($A520="","",L520*IFERROR(INDEX(Settings!$B$30:$B$36,MATCH($B520,Settings!$A$30:$A$36,0)),0))</f>
      </c>
      <c r="N520" s="32">
        <f t="shared" si="41"/>
      </c>
      <c r="O520" s="33">
        <f t="shared" si="42"/>
      </c>
      <c r="P520" s="32">
        <f t="shared" si="43"/>
      </c>
      <c r="Q520" s="33">
        <f t="shared" si="44"/>
      </c>
    </row>
    <row r="521" spans="1:17" x14ac:dyDescent="0.25">
      <c r="A521" s="22"/>
      <c r="B521" s="5"/>
      <c r="C521" s="5"/>
      <c r="D521" s="5"/>
      <c r="E521" s="5"/>
      <c r="F521" s="5"/>
      <c r="G521" s="5"/>
      <c r="H521" s="23"/>
      <c r="I521" s="23"/>
      <c r="J521" s="5"/>
      <c r="K521" s="31">
        <f t="shared" si="40"/>
      </c>
      <c r="L521" s="32">
        <f>IF($A521="","",C521*SUMIFS(Settings!$B$21:$B$25,Settings!$A$21:$A$25,SUMPRODUCT(MAX((Settings!$A$21:$A$25&lt;=$A521)*Settings!$A$21:$A$25)))+D521*SUMIFS(Settings!$C$21:$C$25,Settings!$A$21:$A$25,SUMPRODUCT(MAX((Settings!$A$21:$A$25&lt;=$A521)*Settings!$A$21:$A$25))))</f>
      </c>
      <c r="M521" s="32">
        <f>IF($A521="","",L521*IFERROR(INDEX(Settings!$B$30:$B$36,MATCH($B521,Settings!$A$30:$A$36,0)),0))</f>
      </c>
      <c r="N521" s="32">
        <f t="shared" si="41"/>
      </c>
      <c r="O521" s="33">
        <f t="shared" si="42"/>
      </c>
      <c r="P521" s="32">
        <f t="shared" si="43"/>
      </c>
      <c r="Q521" s="33">
        <f t="shared" si="44"/>
      </c>
    </row>
    <row r="522" spans="1:17" x14ac:dyDescent="0.25">
      <c r="A522" s="22"/>
      <c r="B522" s="5"/>
      <c r="C522" s="5"/>
      <c r="D522" s="5"/>
      <c r="E522" s="5"/>
      <c r="F522" s="5"/>
      <c r="G522" s="5"/>
      <c r="H522" s="23"/>
      <c r="I522" s="23"/>
      <c r="J522" s="5"/>
      <c r="K522" s="31">
        <f t="shared" si="40"/>
      </c>
      <c r="L522" s="32">
        <f>IF($A522="","",C522*SUMIFS(Settings!$B$21:$B$25,Settings!$A$21:$A$25,SUMPRODUCT(MAX((Settings!$A$21:$A$25&lt;=$A522)*Settings!$A$21:$A$25)))+D522*SUMIFS(Settings!$C$21:$C$25,Settings!$A$21:$A$25,SUMPRODUCT(MAX((Settings!$A$21:$A$25&lt;=$A522)*Settings!$A$21:$A$25))))</f>
      </c>
      <c r="M522" s="32">
        <f>IF($A522="","",L522*IFERROR(INDEX(Settings!$B$30:$B$36,MATCH($B522,Settings!$A$30:$A$36,0)),0))</f>
      </c>
      <c r="N522" s="32">
        <f t="shared" si="41"/>
      </c>
      <c r="O522" s="33">
        <f t="shared" si="42"/>
      </c>
      <c r="P522" s="32">
        <f t="shared" si="43"/>
      </c>
      <c r="Q522" s="33">
        <f t="shared" si="44"/>
      </c>
    </row>
    <row r="523" spans="1:17" x14ac:dyDescent="0.25">
      <c r="A523" s="22"/>
      <c r="B523" s="5"/>
      <c r="C523" s="5"/>
      <c r="D523" s="5"/>
      <c r="E523" s="5"/>
      <c r="F523" s="5"/>
      <c r="G523" s="5"/>
      <c r="H523" s="23"/>
      <c r="I523" s="23"/>
      <c r="J523" s="5"/>
      <c r="K523" s="31">
        <f t="shared" si="40"/>
      </c>
      <c r="L523" s="32">
        <f>IF($A523="","",C523*SUMIFS(Settings!$B$21:$B$25,Settings!$A$21:$A$25,SUMPRODUCT(MAX((Settings!$A$21:$A$25&lt;=$A523)*Settings!$A$21:$A$25)))+D523*SUMIFS(Settings!$C$21:$C$25,Settings!$A$21:$A$25,SUMPRODUCT(MAX((Settings!$A$21:$A$25&lt;=$A523)*Settings!$A$21:$A$25))))</f>
      </c>
      <c r="M523" s="32">
        <f>IF($A523="","",L523*IFERROR(INDEX(Settings!$B$30:$B$36,MATCH($B523,Settings!$A$30:$A$36,0)),0))</f>
      </c>
      <c r="N523" s="32">
        <f t="shared" si="41"/>
      </c>
      <c r="O523" s="33">
        <f t="shared" si="42"/>
      </c>
      <c r="P523" s="32">
        <f t="shared" si="43"/>
      </c>
      <c r="Q523" s="33">
        <f t="shared" si="44"/>
      </c>
    </row>
    <row r="524" spans="1:17" x14ac:dyDescent="0.25">
      <c r="A524" s="22"/>
      <c r="B524" s="5"/>
      <c r="C524" s="5"/>
      <c r="D524" s="5"/>
      <c r="E524" s="5"/>
      <c r="F524" s="5"/>
      <c r="G524" s="5"/>
      <c r="H524" s="23"/>
      <c r="I524" s="23"/>
      <c r="J524" s="5"/>
      <c r="K524" s="31">
        <f t="shared" si="40"/>
      </c>
      <c r="L524" s="32">
        <f>IF($A524="","",C524*SUMIFS(Settings!$B$21:$B$25,Settings!$A$21:$A$25,SUMPRODUCT(MAX((Settings!$A$21:$A$25&lt;=$A524)*Settings!$A$21:$A$25)))+D524*SUMIFS(Settings!$C$21:$C$25,Settings!$A$21:$A$25,SUMPRODUCT(MAX((Settings!$A$21:$A$25&lt;=$A524)*Settings!$A$21:$A$25))))</f>
      </c>
      <c r="M524" s="32">
        <f>IF($A524="","",L524*IFERROR(INDEX(Settings!$B$30:$B$36,MATCH($B524,Settings!$A$30:$A$36,0)),0))</f>
      </c>
      <c r="N524" s="32">
        <f t="shared" si="41"/>
      </c>
      <c r="O524" s="33">
        <f t="shared" si="42"/>
      </c>
      <c r="P524" s="32">
        <f t="shared" si="43"/>
      </c>
      <c r="Q524" s="33">
        <f t="shared" si="44"/>
      </c>
    </row>
    <row r="525" spans="1:17" x14ac:dyDescent="0.25">
      <c r="A525" s="22"/>
      <c r="B525" s="5"/>
      <c r="C525" s="5"/>
      <c r="D525" s="5"/>
      <c r="E525" s="5"/>
      <c r="F525" s="5"/>
      <c r="G525" s="5"/>
      <c r="H525" s="23"/>
      <c r="I525" s="23"/>
      <c r="J525" s="5"/>
      <c r="K525" s="31">
        <f t="shared" si="40"/>
      </c>
      <c r="L525" s="32">
        <f>IF($A525="","",C525*SUMIFS(Settings!$B$21:$B$25,Settings!$A$21:$A$25,SUMPRODUCT(MAX((Settings!$A$21:$A$25&lt;=$A525)*Settings!$A$21:$A$25)))+D525*SUMIFS(Settings!$C$21:$C$25,Settings!$A$21:$A$25,SUMPRODUCT(MAX((Settings!$A$21:$A$25&lt;=$A525)*Settings!$A$21:$A$25))))</f>
      </c>
      <c r="M525" s="32">
        <f>IF($A525="","",L525*IFERROR(INDEX(Settings!$B$30:$B$36,MATCH($B525,Settings!$A$30:$A$36,0)),0))</f>
      </c>
      <c r="N525" s="32">
        <f t="shared" si="41"/>
      </c>
      <c r="O525" s="33">
        <f t="shared" si="42"/>
      </c>
      <c r="P525" s="32">
        <f t="shared" si="43"/>
      </c>
      <c r="Q525" s="33">
        <f t="shared" si="44"/>
      </c>
    </row>
    <row r="526" spans="1:17" x14ac:dyDescent="0.25">
      <c r="A526" s="22"/>
      <c r="B526" s="5"/>
      <c r="C526" s="5"/>
      <c r="D526" s="5"/>
      <c r="E526" s="5"/>
      <c r="F526" s="5"/>
      <c r="G526" s="5"/>
      <c r="H526" s="23"/>
      <c r="I526" s="23"/>
      <c r="J526" s="5"/>
      <c r="K526" s="31">
        <f t="shared" si="40"/>
      </c>
      <c r="L526" s="32">
        <f>IF($A526="","",C526*SUMIFS(Settings!$B$21:$B$25,Settings!$A$21:$A$25,SUMPRODUCT(MAX((Settings!$A$21:$A$25&lt;=$A526)*Settings!$A$21:$A$25)))+D526*SUMIFS(Settings!$C$21:$C$25,Settings!$A$21:$A$25,SUMPRODUCT(MAX((Settings!$A$21:$A$25&lt;=$A526)*Settings!$A$21:$A$25))))</f>
      </c>
      <c r="M526" s="32">
        <f>IF($A526="","",L526*IFERROR(INDEX(Settings!$B$30:$B$36,MATCH($B526,Settings!$A$30:$A$36,0)),0))</f>
      </c>
      <c r="N526" s="32">
        <f t="shared" si="41"/>
      </c>
      <c r="O526" s="33">
        <f t="shared" si="42"/>
      </c>
      <c r="P526" s="32">
        <f t="shared" si="43"/>
      </c>
      <c r="Q526" s="33">
        <f t="shared" si="44"/>
      </c>
    </row>
    <row r="527" spans="1:17" x14ac:dyDescent="0.25">
      <c r="A527" s="22"/>
      <c r="B527" s="5"/>
      <c r="C527" s="5"/>
      <c r="D527" s="5"/>
      <c r="E527" s="5"/>
      <c r="F527" s="5"/>
      <c r="G527" s="5"/>
      <c r="H527" s="23"/>
      <c r="I527" s="23"/>
      <c r="J527" s="5"/>
      <c r="K527" s="31">
        <f t="shared" si="40"/>
      </c>
      <c r="L527" s="32">
        <f>IF($A527="","",C527*SUMIFS(Settings!$B$21:$B$25,Settings!$A$21:$A$25,SUMPRODUCT(MAX((Settings!$A$21:$A$25&lt;=$A527)*Settings!$A$21:$A$25)))+D527*SUMIFS(Settings!$C$21:$C$25,Settings!$A$21:$A$25,SUMPRODUCT(MAX((Settings!$A$21:$A$25&lt;=$A527)*Settings!$A$21:$A$25))))</f>
      </c>
      <c r="M527" s="32">
        <f>IF($A527="","",L527*IFERROR(INDEX(Settings!$B$30:$B$36,MATCH($B527,Settings!$A$30:$A$36,0)),0))</f>
      </c>
      <c r="N527" s="32">
        <f t="shared" si="41"/>
      </c>
      <c r="O527" s="33">
        <f t="shared" si="42"/>
      </c>
      <c r="P527" s="32">
        <f t="shared" si="43"/>
      </c>
      <c r="Q527" s="33">
        <f t="shared" si="44"/>
      </c>
    </row>
    <row r="528" spans="1:17" x14ac:dyDescent="0.25">
      <c r="A528" s="22"/>
      <c r="B528" s="5"/>
      <c r="C528" s="5"/>
      <c r="D528" s="5"/>
      <c r="E528" s="5"/>
      <c r="F528" s="5"/>
      <c r="G528" s="5"/>
      <c r="H528" s="23"/>
      <c r="I528" s="23"/>
      <c r="J528" s="5"/>
      <c r="K528" s="31">
        <f t="shared" si="40"/>
      </c>
      <c r="L528" s="32">
        <f>IF($A528="","",C528*SUMIFS(Settings!$B$21:$B$25,Settings!$A$21:$A$25,SUMPRODUCT(MAX((Settings!$A$21:$A$25&lt;=$A528)*Settings!$A$21:$A$25)))+D528*SUMIFS(Settings!$C$21:$C$25,Settings!$A$21:$A$25,SUMPRODUCT(MAX((Settings!$A$21:$A$25&lt;=$A528)*Settings!$A$21:$A$25))))</f>
      </c>
      <c r="M528" s="32">
        <f>IF($A528="","",L528*IFERROR(INDEX(Settings!$B$30:$B$36,MATCH($B528,Settings!$A$30:$A$36,0)),0))</f>
      </c>
      <c r="N528" s="32">
        <f t="shared" si="41"/>
      </c>
      <c r="O528" s="33">
        <f t="shared" si="42"/>
      </c>
      <c r="P528" s="32">
        <f t="shared" si="43"/>
      </c>
      <c r="Q528" s="33">
        <f t="shared" si="44"/>
      </c>
    </row>
    <row r="529" spans="1:17" x14ac:dyDescent="0.25">
      <c r="A529" s="22"/>
      <c r="B529" s="5"/>
      <c r="C529" s="5"/>
      <c r="D529" s="5"/>
      <c r="E529" s="5"/>
      <c r="F529" s="5"/>
      <c r="G529" s="5"/>
      <c r="H529" s="23"/>
      <c r="I529" s="23"/>
      <c r="J529" s="5"/>
      <c r="K529" s="31">
        <f t="shared" si="40"/>
      </c>
      <c r="L529" s="32">
        <f>IF($A529="","",C529*SUMIFS(Settings!$B$21:$B$25,Settings!$A$21:$A$25,SUMPRODUCT(MAX((Settings!$A$21:$A$25&lt;=$A529)*Settings!$A$21:$A$25)))+D529*SUMIFS(Settings!$C$21:$C$25,Settings!$A$21:$A$25,SUMPRODUCT(MAX((Settings!$A$21:$A$25&lt;=$A529)*Settings!$A$21:$A$25))))</f>
      </c>
      <c r="M529" s="32">
        <f>IF($A529="","",L529*IFERROR(INDEX(Settings!$B$30:$B$36,MATCH($B529,Settings!$A$30:$A$36,0)),0))</f>
      </c>
      <c r="N529" s="32">
        <f t="shared" si="41"/>
      </c>
      <c r="O529" s="33">
        <f t="shared" si="42"/>
      </c>
      <c r="P529" s="32">
        <f t="shared" si="43"/>
      </c>
      <c r="Q529" s="33">
        <f t="shared" si="44"/>
      </c>
    </row>
    <row r="530" spans="1:17" x14ac:dyDescent="0.25">
      <c r="A530" s="22"/>
      <c r="B530" s="5"/>
      <c r="C530" s="5"/>
      <c r="D530" s="5"/>
      <c r="E530" s="5"/>
      <c r="F530" s="5"/>
      <c r="G530" s="5"/>
      <c r="H530" s="23"/>
      <c r="I530" s="23"/>
      <c r="J530" s="5"/>
      <c r="K530" s="31">
        <f t="shared" si="40"/>
      </c>
      <c r="L530" s="32">
        <f>IF($A530="","",C530*SUMIFS(Settings!$B$21:$B$25,Settings!$A$21:$A$25,SUMPRODUCT(MAX((Settings!$A$21:$A$25&lt;=$A530)*Settings!$A$21:$A$25)))+D530*SUMIFS(Settings!$C$21:$C$25,Settings!$A$21:$A$25,SUMPRODUCT(MAX((Settings!$A$21:$A$25&lt;=$A530)*Settings!$A$21:$A$25))))</f>
      </c>
      <c r="M530" s="32">
        <f>IF($A530="","",L530*IFERROR(INDEX(Settings!$B$30:$B$36,MATCH($B530,Settings!$A$30:$A$36,0)),0))</f>
      </c>
      <c r="N530" s="32">
        <f t="shared" si="41"/>
      </c>
      <c r="O530" s="33">
        <f t="shared" si="42"/>
      </c>
      <c r="P530" s="32">
        <f t="shared" si="43"/>
      </c>
      <c r="Q530" s="33">
        <f t="shared" si="44"/>
      </c>
    </row>
    <row r="531" spans="1:17" x14ac:dyDescent="0.25">
      <c r="A531" s="22"/>
      <c r="B531" s="5"/>
      <c r="C531" s="5"/>
      <c r="D531" s="5"/>
      <c r="E531" s="5"/>
      <c r="F531" s="5"/>
      <c r="G531" s="5"/>
      <c r="H531" s="23"/>
      <c r="I531" s="23"/>
      <c r="J531" s="5"/>
      <c r="K531" s="31">
        <f t="shared" si="40"/>
      </c>
      <c r="L531" s="32">
        <f>IF($A531="","",C531*SUMIFS(Settings!$B$21:$B$25,Settings!$A$21:$A$25,SUMPRODUCT(MAX((Settings!$A$21:$A$25&lt;=$A531)*Settings!$A$21:$A$25)))+D531*SUMIFS(Settings!$C$21:$C$25,Settings!$A$21:$A$25,SUMPRODUCT(MAX((Settings!$A$21:$A$25&lt;=$A531)*Settings!$A$21:$A$25))))</f>
      </c>
      <c r="M531" s="32">
        <f>IF($A531="","",L531*IFERROR(INDEX(Settings!$B$30:$B$36,MATCH($B531,Settings!$A$30:$A$36,0)),0))</f>
      </c>
      <c r="N531" s="32">
        <f t="shared" si="41"/>
      </c>
      <c r="O531" s="33">
        <f t="shared" si="42"/>
      </c>
      <c r="P531" s="32">
        <f t="shared" si="43"/>
      </c>
      <c r="Q531" s="33">
        <f t="shared" si="44"/>
      </c>
    </row>
    <row r="532" spans="1:17" x14ac:dyDescent="0.25">
      <c r="A532" s="22"/>
      <c r="B532" s="5"/>
      <c r="C532" s="5"/>
      <c r="D532" s="5"/>
      <c r="E532" s="5"/>
      <c r="F532" s="5"/>
      <c r="G532" s="5"/>
      <c r="H532" s="23"/>
      <c r="I532" s="23"/>
      <c r="J532" s="5"/>
      <c r="K532" s="31">
        <f t="shared" si="40"/>
      </c>
      <c r="L532" s="32">
        <f>IF($A532="","",C532*SUMIFS(Settings!$B$21:$B$25,Settings!$A$21:$A$25,SUMPRODUCT(MAX((Settings!$A$21:$A$25&lt;=$A532)*Settings!$A$21:$A$25)))+D532*SUMIFS(Settings!$C$21:$C$25,Settings!$A$21:$A$25,SUMPRODUCT(MAX((Settings!$A$21:$A$25&lt;=$A532)*Settings!$A$21:$A$25))))</f>
      </c>
      <c r="M532" s="32">
        <f>IF($A532="","",L532*IFERROR(INDEX(Settings!$B$30:$B$36,MATCH($B532,Settings!$A$30:$A$36,0)),0))</f>
      </c>
      <c r="N532" s="32">
        <f t="shared" si="41"/>
      </c>
      <c r="O532" s="33">
        <f t="shared" si="42"/>
      </c>
      <c r="P532" s="32">
        <f t="shared" si="43"/>
      </c>
      <c r="Q532" s="33">
        <f t="shared" si="44"/>
      </c>
    </row>
    <row r="533" spans="1:17" x14ac:dyDescent="0.25">
      <c r="A533" s="22"/>
      <c r="B533" s="5"/>
      <c r="C533" s="5"/>
      <c r="D533" s="5"/>
      <c r="E533" s="5"/>
      <c r="F533" s="5"/>
      <c r="G533" s="5"/>
      <c r="H533" s="23"/>
      <c r="I533" s="23"/>
      <c r="J533" s="5"/>
      <c r="K533" s="31">
        <f t="shared" si="40"/>
      </c>
      <c r="L533" s="32">
        <f>IF($A533="","",C533*SUMIFS(Settings!$B$21:$B$25,Settings!$A$21:$A$25,SUMPRODUCT(MAX((Settings!$A$21:$A$25&lt;=$A533)*Settings!$A$21:$A$25)))+D533*SUMIFS(Settings!$C$21:$C$25,Settings!$A$21:$A$25,SUMPRODUCT(MAX((Settings!$A$21:$A$25&lt;=$A533)*Settings!$A$21:$A$25))))</f>
      </c>
      <c r="M533" s="32">
        <f>IF($A533="","",L533*IFERROR(INDEX(Settings!$B$30:$B$36,MATCH($B533,Settings!$A$30:$A$36,0)),0))</f>
      </c>
      <c r="N533" s="32">
        <f t="shared" si="41"/>
      </c>
      <c r="O533" s="33">
        <f t="shared" si="42"/>
      </c>
      <c r="P533" s="32">
        <f t="shared" si="43"/>
      </c>
      <c r="Q533" s="33">
        <f t="shared" si="44"/>
      </c>
    </row>
    <row r="534" spans="1:17" x14ac:dyDescent="0.25">
      <c r="A534" s="22"/>
      <c r="B534" s="5"/>
      <c r="C534" s="5"/>
      <c r="D534" s="5"/>
      <c r="E534" s="5"/>
      <c r="F534" s="5"/>
      <c r="G534" s="5"/>
      <c r="H534" s="23"/>
      <c r="I534" s="23"/>
      <c r="J534" s="5"/>
      <c r="K534" s="31">
        <f t="shared" si="40"/>
      </c>
      <c r="L534" s="32">
        <f>IF($A534="","",C534*SUMIFS(Settings!$B$21:$B$25,Settings!$A$21:$A$25,SUMPRODUCT(MAX((Settings!$A$21:$A$25&lt;=$A534)*Settings!$A$21:$A$25)))+D534*SUMIFS(Settings!$C$21:$C$25,Settings!$A$21:$A$25,SUMPRODUCT(MAX((Settings!$A$21:$A$25&lt;=$A534)*Settings!$A$21:$A$25))))</f>
      </c>
      <c r="M534" s="32">
        <f>IF($A534="","",L534*IFERROR(INDEX(Settings!$B$30:$B$36,MATCH($B534,Settings!$A$30:$A$36,0)),0))</f>
      </c>
      <c r="N534" s="32">
        <f t="shared" si="41"/>
      </c>
      <c r="O534" s="33">
        <f t="shared" si="42"/>
      </c>
      <c r="P534" s="32">
        <f t="shared" si="43"/>
      </c>
      <c r="Q534" s="33">
        <f t="shared" si="44"/>
      </c>
    </row>
    <row r="535" spans="1:17" x14ac:dyDescent="0.25">
      <c r="A535" s="22"/>
      <c r="B535" s="5"/>
      <c r="C535" s="5"/>
      <c r="D535" s="5"/>
      <c r="E535" s="5"/>
      <c r="F535" s="5"/>
      <c r="G535" s="5"/>
      <c r="H535" s="23"/>
      <c r="I535" s="23"/>
      <c r="J535" s="5"/>
      <c r="K535" s="31">
        <f t="shared" si="40"/>
      </c>
      <c r="L535" s="32">
        <f>IF($A535="","",C535*SUMIFS(Settings!$B$21:$B$25,Settings!$A$21:$A$25,SUMPRODUCT(MAX((Settings!$A$21:$A$25&lt;=$A535)*Settings!$A$21:$A$25)))+D535*SUMIFS(Settings!$C$21:$C$25,Settings!$A$21:$A$25,SUMPRODUCT(MAX((Settings!$A$21:$A$25&lt;=$A535)*Settings!$A$21:$A$25))))</f>
      </c>
      <c r="M535" s="32">
        <f>IF($A535="","",L535*IFERROR(INDEX(Settings!$B$30:$B$36,MATCH($B535,Settings!$A$30:$A$36,0)),0))</f>
      </c>
      <c r="N535" s="32">
        <f t="shared" si="41"/>
      </c>
      <c r="O535" s="33">
        <f t="shared" si="42"/>
      </c>
      <c r="P535" s="32">
        <f t="shared" si="43"/>
      </c>
      <c r="Q535" s="33">
        <f t="shared" si="44"/>
      </c>
    </row>
    <row r="536" spans="1:17" x14ac:dyDescent="0.25">
      <c r="A536" s="22"/>
      <c r="B536" s="5"/>
      <c r="C536" s="5"/>
      <c r="D536" s="5"/>
      <c r="E536" s="5"/>
      <c r="F536" s="5"/>
      <c r="G536" s="5"/>
      <c r="H536" s="23"/>
      <c r="I536" s="23"/>
      <c r="J536" s="5"/>
      <c r="K536" s="31">
        <f t="shared" si="40"/>
      </c>
      <c r="L536" s="32">
        <f>IF($A536="","",C536*SUMIFS(Settings!$B$21:$B$25,Settings!$A$21:$A$25,SUMPRODUCT(MAX((Settings!$A$21:$A$25&lt;=$A536)*Settings!$A$21:$A$25)))+D536*SUMIFS(Settings!$C$21:$C$25,Settings!$A$21:$A$25,SUMPRODUCT(MAX((Settings!$A$21:$A$25&lt;=$A536)*Settings!$A$21:$A$25))))</f>
      </c>
      <c r="M536" s="32">
        <f>IF($A536="","",L536*IFERROR(INDEX(Settings!$B$30:$B$36,MATCH($B536,Settings!$A$30:$A$36,0)),0))</f>
      </c>
      <c r="N536" s="32">
        <f t="shared" si="41"/>
      </c>
      <c r="O536" s="33">
        <f t="shared" si="42"/>
      </c>
      <c r="P536" s="32">
        <f t="shared" si="43"/>
      </c>
      <c r="Q536" s="33">
        <f t="shared" si="44"/>
      </c>
    </row>
    <row r="537" spans="1:17" x14ac:dyDescent="0.25">
      <c r="A537" s="22"/>
      <c r="B537" s="5"/>
      <c r="C537" s="5"/>
      <c r="D537" s="5"/>
      <c r="E537" s="5"/>
      <c r="F537" s="5"/>
      <c r="G537" s="5"/>
      <c r="H537" s="23"/>
      <c r="I537" s="23"/>
      <c r="J537" s="5"/>
      <c r="K537" s="31">
        <f t="shared" si="40"/>
      </c>
      <c r="L537" s="32">
        <f>IF($A537="","",C537*SUMIFS(Settings!$B$21:$B$25,Settings!$A$21:$A$25,SUMPRODUCT(MAX((Settings!$A$21:$A$25&lt;=$A537)*Settings!$A$21:$A$25)))+D537*SUMIFS(Settings!$C$21:$C$25,Settings!$A$21:$A$25,SUMPRODUCT(MAX((Settings!$A$21:$A$25&lt;=$A537)*Settings!$A$21:$A$25))))</f>
      </c>
      <c r="M537" s="32">
        <f>IF($A537="","",L537*IFERROR(INDEX(Settings!$B$30:$B$36,MATCH($B537,Settings!$A$30:$A$36,0)),0))</f>
      </c>
      <c r="N537" s="32">
        <f t="shared" si="41"/>
      </c>
      <c r="O537" s="33">
        <f t="shared" si="42"/>
      </c>
      <c r="P537" s="32">
        <f t="shared" si="43"/>
      </c>
      <c r="Q537" s="33">
        <f t="shared" si="44"/>
      </c>
    </row>
    <row r="538" spans="1:17" x14ac:dyDescent="0.25">
      <c r="A538" s="22"/>
      <c r="B538" s="5"/>
      <c r="C538" s="5"/>
      <c r="D538" s="5"/>
      <c r="E538" s="5"/>
      <c r="F538" s="5"/>
      <c r="G538" s="5"/>
      <c r="H538" s="23"/>
      <c r="I538" s="23"/>
      <c r="J538" s="5"/>
      <c r="K538" s="31">
        <f t="shared" si="40"/>
      </c>
      <c r="L538" s="32">
        <f>IF($A538="","",C538*SUMIFS(Settings!$B$21:$B$25,Settings!$A$21:$A$25,SUMPRODUCT(MAX((Settings!$A$21:$A$25&lt;=$A538)*Settings!$A$21:$A$25)))+D538*SUMIFS(Settings!$C$21:$C$25,Settings!$A$21:$A$25,SUMPRODUCT(MAX((Settings!$A$21:$A$25&lt;=$A538)*Settings!$A$21:$A$25))))</f>
      </c>
      <c r="M538" s="32">
        <f>IF($A538="","",L538*IFERROR(INDEX(Settings!$B$30:$B$36,MATCH($B538,Settings!$A$30:$A$36,0)),0))</f>
      </c>
      <c r="N538" s="32">
        <f t="shared" si="41"/>
      </c>
      <c r="O538" s="33">
        <f t="shared" si="42"/>
      </c>
      <c r="P538" s="32">
        <f t="shared" si="43"/>
      </c>
      <c r="Q538" s="33">
        <f t="shared" si="44"/>
      </c>
    </row>
    <row r="539" spans="1:17" x14ac:dyDescent="0.25">
      <c r="A539" s="22"/>
      <c r="B539" s="5"/>
      <c r="C539" s="5"/>
      <c r="D539" s="5"/>
      <c r="E539" s="5"/>
      <c r="F539" s="5"/>
      <c r="G539" s="5"/>
      <c r="H539" s="23"/>
      <c r="I539" s="23"/>
      <c r="J539" s="5"/>
      <c r="K539" s="31">
        <f t="shared" si="40"/>
      </c>
      <c r="L539" s="32">
        <f>IF($A539="","",C539*SUMIFS(Settings!$B$21:$B$25,Settings!$A$21:$A$25,SUMPRODUCT(MAX((Settings!$A$21:$A$25&lt;=$A539)*Settings!$A$21:$A$25)))+D539*SUMIFS(Settings!$C$21:$C$25,Settings!$A$21:$A$25,SUMPRODUCT(MAX((Settings!$A$21:$A$25&lt;=$A539)*Settings!$A$21:$A$25))))</f>
      </c>
      <c r="M539" s="32">
        <f>IF($A539="","",L539*IFERROR(INDEX(Settings!$B$30:$B$36,MATCH($B539,Settings!$A$30:$A$36,0)),0))</f>
      </c>
      <c r="N539" s="32">
        <f t="shared" si="41"/>
      </c>
      <c r="O539" s="33">
        <f t="shared" si="42"/>
      </c>
      <c r="P539" s="32">
        <f t="shared" si="43"/>
      </c>
      <c r="Q539" s="33">
        <f t="shared" si="44"/>
      </c>
    </row>
    <row r="540" spans="1:17" x14ac:dyDescent="0.25">
      <c r="A540" s="22"/>
      <c r="B540" s="5"/>
      <c r="C540" s="5"/>
      <c r="D540" s="5"/>
      <c r="E540" s="5"/>
      <c r="F540" s="5"/>
      <c r="G540" s="5"/>
      <c r="H540" s="23"/>
      <c r="I540" s="23"/>
      <c r="J540" s="5"/>
      <c r="K540" s="31">
        <f t="shared" si="40"/>
      </c>
      <c r="L540" s="32">
        <f>IF($A540="","",C540*SUMIFS(Settings!$B$21:$B$25,Settings!$A$21:$A$25,SUMPRODUCT(MAX((Settings!$A$21:$A$25&lt;=$A540)*Settings!$A$21:$A$25)))+D540*SUMIFS(Settings!$C$21:$C$25,Settings!$A$21:$A$25,SUMPRODUCT(MAX((Settings!$A$21:$A$25&lt;=$A540)*Settings!$A$21:$A$25))))</f>
      </c>
      <c r="M540" s="32">
        <f>IF($A540="","",L540*IFERROR(INDEX(Settings!$B$30:$B$36,MATCH($B540,Settings!$A$30:$A$36,0)),0))</f>
      </c>
      <c r="N540" s="32">
        <f t="shared" si="41"/>
      </c>
      <c r="O540" s="33">
        <f t="shared" si="42"/>
      </c>
      <c r="P540" s="32">
        <f t="shared" si="43"/>
      </c>
      <c r="Q540" s="33">
        <f t="shared" si="44"/>
      </c>
    </row>
    <row r="541" spans="1:17" x14ac:dyDescent="0.25">
      <c r="A541" s="22"/>
      <c r="B541" s="5"/>
      <c r="C541" s="5"/>
      <c r="D541" s="5"/>
      <c r="E541" s="5"/>
      <c r="F541" s="5"/>
      <c r="G541" s="5"/>
      <c r="H541" s="23"/>
      <c r="I541" s="23"/>
      <c r="J541" s="5"/>
      <c r="K541" s="31">
        <f t="shared" si="40"/>
      </c>
      <c r="L541" s="32">
        <f>IF($A541="","",C541*SUMIFS(Settings!$B$21:$B$25,Settings!$A$21:$A$25,SUMPRODUCT(MAX((Settings!$A$21:$A$25&lt;=$A541)*Settings!$A$21:$A$25)))+D541*SUMIFS(Settings!$C$21:$C$25,Settings!$A$21:$A$25,SUMPRODUCT(MAX((Settings!$A$21:$A$25&lt;=$A541)*Settings!$A$21:$A$25))))</f>
      </c>
      <c r="M541" s="32">
        <f>IF($A541="","",L541*IFERROR(INDEX(Settings!$B$30:$B$36,MATCH($B541,Settings!$A$30:$A$36,0)),0))</f>
      </c>
      <c r="N541" s="32">
        <f t="shared" si="41"/>
      </c>
      <c r="O541" s="33">
        <f t="shared" si="42"/>
      </c>
      <c r="P541" s="32">
        <f t="shared" si="43"/>
      </c>
      <c r="Q541" s="33">
        <f t="shared" si="44"/>
      </c>
    </row>
    <row r="542" spans="1:17" x14ac:dyDescent="0.25">
      <c r="A542" s="22"/>
      <c r="B542" s="5"/>
      <c r="C542" s="5"/>
      <c r="D542" s="5"/>
      <c r="E542" s="5"/>
      <c r="F542" s="5"/>
      <c r="G542" s="5"/>
      <c r="H542" s="23"/>
      <c r="I542" s="23"/>
      <c r="J542" s="5"/>
      <c r="K542" s="31">
        <f t="shared" si="40"/>
      </c>
      <c r="L542" s="32">
        <f>IF($A542="","",C542*SUMIFS(Settings!$B$21:$B$25,Settings!$A$21:$A$25,SUMPRODUCT(MAX((Settings!$A$21:$A$25&lt;=$A542)*Settings!$A$21:$A$25)))+D542*SUMIFS(Settings!$C$21:$C$25,Settings!$A$21:$A$25,SUMPRODUCT(MAX((Settings!$A$21:$A$25&lt;=$A542)*Settings!$A$21:$A$25))))</f>
      </c>
      <c r="M542" s="32">
        <f>IF($A542="","",L542*IFERROR(INDEX(Settings!$B$30:$B$36,MATCH($B542,Settings!$A$30:$A$36,0)),0))</f>
      </c>
      <c r="N542" s="32">
        <f t="shared" si="41"/>
      </c>
      <c r="O542" s="33">
        <f t="shared" si="42"/>
      </c>
      <c r="P542" s="32">
        <f t="shared" si="43"/>
      </c>
      <c r="Q542" s="33">
        <f t="shared" si="44"/>
      </c>
    </row>
    <row r="543" spans="1:17" x14ac:dyDescent="0.25">
      <c r="A543" s="22"/>
      <c r="B543" s="5"/>
      <c r="C543" s="5"/>
      <c r="D543" s="5"/>
      <c r="E543" s="5"/>
      <c r="F543" s="5"/>
      <c r="G543" s="5"/>
      <c r="H543" s="23"/>
      <c r="I543" s="23"/>
      <c r="J543" s="5"/>
      <c r="K543" s="31">
        <f t="shared" si="40"/>
      </c>
      <c r="L543" s="32">
        <f>IF($A543="","",C543*SUMIFS(Settings!$B$21:$B$25,Settings!$A$21:$A$25,SUMPRODUCT(MAX((Settings!$A$21:$A$25&lt;=$A543)*Settings!$A$21:$A$25)))+D543*SUMIFS(Settings!$C$21:$C$25,Settings!$A$21:$A$25,SUMPRODUCT(MAX((Settings!$A$21:$A$25&lt;=$A543)*Settings!$A$21:$A$25))))</f>
      </c>
      <c r="M543" s="32">
        <f>IF($A543="","",L543*IFERROR(INDEX(Settings!$B$30:$B$36,MATCH($B543,Settings!$A$30:$A$36,0)),0))</f>
      </c>
      <c r="N543" s="32">
        <f t="shared" si="41"/>
      </c>
      <c r="O543" s="33">
        <f t="shared" si="42"/>
      </c>
      <c r="P543" s="32">
        <f t="shared" si="43"/>
      </c>
      <c r="Q543" s="33">
        <f t="shared" si="44"/>
      </c>
    </row>
    <row r="544" spans="1:17" x14ac:dyDescent="0.25">
      <c r="A544" s="22"/>
      <c r="B544" s="5"/>
      <c r="C544" s="5"/>
      <c r="D544" s="5"/>
      <c r="E544" s="5"/>
      <c r="F544" s="5"/>
      <c r="G544" s="5"/>
      <c r="H544" s="23"/>
      <c r="I544" s="23"/>
      <c r="J544" s="5"/>
      <c r="K544" s="31">
        <f t="shared" si="40"/>
      </c>
      <c r="L544" s="32">
        <f>IF($A544="","",C544*SUMIFS(Settings!$B$21:$B$25,Settings!$A$21:$A$25,SUMPRODUCT(MAX((Settings!$A$21:$A$25&lt;=$A544)*Settings!$A$21:$A$25)))+D544*SUMIFS(Settings!$C$21:$C$25,Settings!$A$21:$A$25,SUMPRODUCT(MAX((Settings!$A$21:$A$25&lt;=$A544)*Settings!$A$21:$A$25))))</f>
      </c>
      <c r="M544" s="32">
        <f>IF($A544="","",L544*IFERROR(INDEX(Settings!$B$30:$B$36,MATCH($B544,Settings!$A$30:$A$36,0)),0))</f>
      </c>
      <c r="N544" s="32">
        <f t="shared" si="41"/>
      </c>
      <c r="O544" s="33">
        <f t="shared" si="42"/>
      </c>
      <c r="P544" s="32">
        <f t="shared" si="43"/>
      </c>
      <c r="Q544" s="33">
        <f t="shared" si="44"/>
      </c>
    </row>
    <row r="545" spans="1:17" x14ac:dyDescent="0.25">
      <c r="A545" s="22"/>
      <c r="B545" s="5"/>
      <c r="C545" s="5"/>
      <c r="D545" s="5"/>
      <c r="E545" s="5"/>
      <c r="F545" s="5"/>
      <c r="G545" s="5"/>
      <c r="H545" s="23"/>
      <c r="I545" s="23"/>
      <c r="J545" s="5"/>
      <c r="K545" s="31">
        <f t="shared" si="40"/>
      </c>
      <c r="L545" s="32">
        <f>IF($A545="","",C545*SUMIFS(Settings!$B$21:$B$25,Settings!$A$21:$A$25,SUMPRODUCT(MAX((Settings!$A$21:$A$25&lt;=$A545)*Settings!$A$21:$A$25)))+D545*SUMIFS(Settings!$C$21:$C$25,Settings!$A$21:$A$25,SUMPRODUCT(MAX((Settings!$A$21:$A$25&lt;=$A545)*Settings!$A$21:$A$25))))</f>
      </c>
      <c r="M545" s="32">
        <f>IF($A545="","",L545*IFERROR(INDEX(Settings!$B$30:$B$36,MATCH($B545,Settings!$A$30:$A$36,0)),0))</f>
      </c>
      <c r="N545" s="32">
        <f t="shared" si="41"/>
      </c>
      <c r="O545" s="33">
        <f t="shared" si="42"/>
      </c>
      <c r="P545" s="32">
        <f t="shared" si="43"/>
      </c>
      <c r="Q545" s="33">
        <f t="shared" si="44"/>
      </c>
    </row>
    <row r="546" spans="1:17" x14ac:dyDescent="0.25">
      <c r="A546" s="22"/>
      <c r="B546" s="5"/>
      <c r="C546" s="5"/>
      <c r="D546" s="5"/>
      <c r="E546" s="5"/>
      <c r="F546" s="5"/>
      <c r="G546" s="5"/>
      <c r="H546" s="23"/>
      <c r="I546" s="23"/>
      <c r="J546" s="5"/>
      <c r="K546" s="31">
        <f t="shared" si="40"/>
      </c>
      <c r="L546" s="32">
        <f>IF($A546="","",C546*SUMIFS(Settings!$B$21:$B$25,Settings!$A$21:$A$25,SUMPRODUCT(MAX((Settings!$A$21:$A$25&lt;=$A546)*Settings!$A$21:$A$25)))+D546*SUMIFS(Settings!$C$21:$C$25,Settings!$A$21:$A$25,SUMPRODUCT(MAX((Settings!$A$21:$A$25&lt;=$A546)*Settings!$A$21:$A$25))))</f>
      </c>
      <c r="M546" s="32">
        <f>IF($A546="","",L546*IFERROR(INDEX(Settings!$B$30:$B$36,MATCH($B546,Settings!$A$30:$A$36,0)),0))</f>
      </c>
      <c r="N546" s="32">
        <f t="shared" si="41"/>
      </c>
      <c r="O546" s="33">
        <f t="shared" si="42"/>
      </c>
      <c r="P546" s="32">
        <f t="shared" si="43"/>
      </c>
      <c r="Q546" s="33">
        <f t="shared" si="44"/>
      </c>
    </row>
    <row r="547" spans="1:17" x14ac:dyDescent="0.25">
      <c r="A547" s="22"/>
      <c r="B547" s="5"/>
      <c r="C547" s="5"/>
      <c r="D547" s="5"/>
      <c r="E547" s="5"/>
      <c r="F547" s="5"/>
      <c r="G547" s="5"/>
      <c r="H547" s="23"/>
      <c r="I547" s="23"/>
      <c r="J547" s="5"/>
      <c r="K547" s="31">
        <f t="shared" si="40"/>
      </c>
      <c r="L547" s="32">
        <f>IF($A547="","",C547*SUMIFS(Settings!$B$21:$B$25,Settings!$A$21:$A$25,SUMPRODUCT(MAX((Settings!$A$21:$A$25&lt;=$A547)*Settings!$A$21:$A$25)))+D547*SUMIFS(Settings!$C$21:$C$25,Settings!$A$21:$A$25,SUMPRODUCT(MAX((Settings!$A$21:$A$25&lt;=$A547)*Settings!$A$21:$A$25))))</f>
      </c>
      <c r="M547" s="32">
        <f>IF($A547="","",L547*IFERROR(INDEX(Settings!$B$30:$B$36,MATCH($B547,Settings!$A$30:$A$36,0)),0))</f>
      </c>
      <c r="N547" s="32">
        <f t="shared" si="41"/>
      </c>
      <c r="O547" s="33">
        <f t="shared" si="42"/>
      </c>
      <c r="P547" s="32">
        <f t="shared" si="43"/>
      </c>
      <c r="Q547" s="33">
        <f t="shared" si="44"/>
      </c>
    </row>
    <row r="548" spans="1:17" x14ac:dyDescent="0.25">
      <c r="A548" s="22"/>
      <c r="B548" s="5"/>
      <c r="C548" s="5"/>
      <c r="D548" s="5"/>
      <c r="E548" s="5"/>
      <c r="F548" s="5"/>
      <c r="G548" s="5"/>
      <c r="H548" s="23"/>
      <c r="I548" s="23"/>
      <c r="J548" s="5"/>
      <c r="K548" s="31">
        <f t="shared" si="40"/>
      </c>
      <c r="L548" s="32">
        <f>IF($A548="","",C548*SUMIFS(Settings!$B$21:$B$25,Settings!$A$21:$A$25,SUMPRODUCT(MAX((Settings!$A$21:$A$25&lt;=$A548)*Settings!$A$21:$A$25)))+D548*SUMIFS(Settings!$C$21:$C$25,Settings!$A$21:$A$25,SUMPRODUCT(MAX((Settings!$A$21:$A$25&lt;=$A548)*Settings!$A$21:$A$25))))</f>
      </c>
      <c r="M548" s="32">
        <f>IF($A548="","",L548*IFERROR(INDEX(Settings!$B$30:$B$36,MATCH($B548,Settings!$A$30:$A$36,0)),0))</f>
      </c>
      <c r="N548" s="32">
        <f t="shared" si="41"/>
      </c>
      <c r="O548" s="33">
        <f t="shared" si="42"/>
      </c>
      <c r="P548" s="32">
        <f t="shared" si="43"/>
      </c>
      <c r="Q548" s="33">
        <f t="shared" si="44"/>
      </c>
    </row>
    <row r="549" spans="1:17" x14ac:dyDescent="0.25">
      <c r="A549" s="22"/>
      <c r="B549" s="5"/>
      <c r="C549" s="5"/>
      <c r="D549" s="5"/>
      <c r="E549" s="5"/>
      <c r="F549" s="5"/>
      <c r="G549" s="5"/>
      <c r="H549" s="23"/>
      <c r="I549" s="23"/>
      <c r="J549" s="5"/>
      <c r="K549" s="31">
        <f t="shared" si="40"/>
      </c>
      <c r="L549" s="32">
        <f>IF($A549="","",C549*SUMIFS(Settings!$B$21:$B$25,Settings!$A$21:$A$25,SUMPRODUCT(MAX((Settings!$A$21:$A$25&lt;=$A549)*Settings!$A$21:$A$25)))+D549*SUMIFS(Settings!$C$21:$C$25,Settings!$A$21:$A$25,SUMPRODUCT(MAX((Settings!$A$21:$A$25&lt;=$A549)*Settings!$A$21:$A$25))))</f>
      </c>
      <c r="M549" s="32">
        <f>IF($A549="","",L549*IFERROR(INDEX(Settings!$B$30:$B$36,MATCH($B549,Settings!$A$30:$A$36,0)),0))</f>
      </c>
      <c r="N549" s="32">
        <f t="shared" si="41"/>
      </c>
      <c r="O549" s="33">
        <f t="shared" si="42"/>
      </c>
      <c r="P549" s="32">
        <f t="shared" si="43"/>
      </c>
      <c r="Q549" s="33">
        <f t="shared" si="44"/>
      </c>
    </row>
    <row r="550" spans="1:17" x14ac:dyDescent="0.25">
      <c r="A550" s="22"/>
      <c r="B550" s="5"/>
      <c r="C550" s="5"/>
      <c r="D550" s="5"/>
      <c r="E550" s="5"/>
      <c r="F550" s="5"/>
      <c r="G550" s="5"/>
      <c r="H550" s="23"/>
      <c r="I550" s="23"/>
      <c r="J550" s="5"/>
      <c r="K550" s="31">
        <f t="shared" si="40"/>
      </c>
      <c r="L550" s="32">
        <f>IF($A550="","",C550*SUMIFS(Settings!$B$21:$B$25,Settings!$A$21:$A$25,SUMPRODUCT(MAX((Settings!$A$21:$A$25&lt;=$A550)*Settings!$A$21:$A$25)))+D550*SUMIFS(Settings!$C$21:$C$25,Settings!$A$21:$A$25,SUMPRODUCT(MAX((Settings!$A$21:$A$25&lt;=$A550)*Settings!$A$21:$A$25))))</f>
      </c>
      <c r="M550" s="32">
        <f>IF($A550="","",L550*IFERROR(INDEX(Settings!$B$30:$B$36,MATCH($B550,Settings!$A$30:$A$36,0)),0))</f>
      </c>
      <c r="N550" s="32">
        <f t="shared" si="41"/>
      </c>
      <c r="O550" s="33">
        <f t="shared" si="42"/>
      </c>
      <c r="P550" s="32">
        <f t="shared" si="43"/>
      </c>
      <c r="Q550" s="33">
        <f t="shared" si="44"/>
      </c>
    </row>
    <row r="551" spans="1:17" x14ac:dyDescent="0.25">
      <c r="A551" s="22"/>
      <c r="B551" s="5"/>
      <c r="C551" s="5"/>
      <c r="D551" s="5"/>
      <c r="E551" s="5"/>
      <c r="F551" s="5"/>
      <c r="G551" s="5"/>
      <c r="H551" s="23"/>
      <c r="I551" s="23"/>
      <c r="J551" s="5"/>
      <c r="K551" s="31">
        <f t="shared" si="40"/>
      </c>
      <c r="L551" s="32">
        <f>IF($A551="","",C551*SUMIFS(Settings!$B$21:$B$25,Settings!$A$21:$A$25,SUMPRODUCT(MAX((Settings!$A$21:$A$25&lt;=$A551)*Settings!$A$21:$A$25)))+D551*SUMIFS(Settings!$C$21:$C$25,Settings!$A$21:$A$25,SUMPRODUCT(MAX((Settings!$A$21:$A$25&lt;=$A551)*Settings!$A$21:$A$25))))</f>
      </c>
      <c r="M551" s="32">
        <f>IF($A551="","",L551*IFERROR(INDEX(Settings!$B$30:$B$36,MATCH($B551,Settings!$A$30:$A$36,0)),0))</f>
      </c>
      <c r="N551" s="32">
        <f t="shared" si="41"/>
      </c>
      <c r="O551" s="33">
        <f t="shared" si="42"/>
      </c>
      <c r="P551" s="32">
        <f t="shared" si="43"/>
      </c>
      <c r="Q551" s="33">
        <f t="shared" si="44"/>
      </c>
    </row>
    <row r="552" spans="1:17" x14ac:dyDescent="0.25">
      <c r="A552" s="22"/>
      <c r="B552" s="5"/>
      <c r="C552" s="5"/>
      <c r="D552" s="5"/>
      <c r="E552" s="5"/>
      <c r="F552" s="5"/>
      <c r="G552" s="5"/>
      <c r="H552" s="23"/>
      <c r="I552" s="23"/>
      <c r="J552" s="5"/>
      <c r="K552" s="31">
        <f t="shared" si="40"/>
      </c>
      <c r="L552" s="32">
        <f>IF($A552="","",C552*SUMIFS(Settings!$B$21:$B$25,Settings!$A$21:$A$25,SUMPRODUCT(MAX((Settings!$A$21:$A$25&lt;=$A552)*Settings!$A$21:$A$25)))+D552*SUMIFS(Settings!$C$21:$C$25,Settings!$A$21:$A$25,SUMPRODUCT(MAX((Settings!$A$21:$A$25&lt;=$A552)*Settings!$A$21:$A$25))))</f>
      </c>
      <c r="M552" s="32">
        <f>IF($A552="","",L552*IFERROR(INDEX(Settings!$B$30:$B$36,MATCH($B552,Settings!$A$30:$A$36,0)),0))</f>
      </c>
      <c r="N552" s="32">
        <f t="shared" si="41"/>
      </c>
      <c r="O552" s="33">
        <f t="shared" si="42"/>
      </c>
      <c r="P552" s="32">
        <f t="shared" si="43"/>
      </c>
      <c r="Q552" s="33">
        <f t="shared" si="44"/>
      </c>
    </row>
    <row r="553" spans="1:17" x14ac:dyDescent="0.25">
      <c r="A553" s="22"/>
      <c r="B553" s="5"/>
      <c r="C553" s="5"/>
      <c r="D553" s="5"/>
      <c r="E553" s="5"/>
      <c r="F553" s="5"/>
      <c r="G553" s="5"/>
      <c r="H553" s="23"/>
      <c r="I553" s="23"/>
      <c r="J553" s="5"/>
      <c r="K553" s="31">
        <f t="shared" si="40"/>
      </c>
      <c r="L553" s="32">
        <f>IF($A553="","",C553*SUMIFS(Settings!$B$21:$B$25,Settings!$A$21:$A$25,SUMPRODUCT(MAX((Settings!$A$21:$A$25&lt;=$A553)*Settings!$A$21:$A$25)))+D553*SUMIFS(Settings!$C$21:$C$25,Settings!$A$21:$A$25,SUMPRODUCT(MAX((Settings!$A$21:$A$25&lt;=$A553)*Settings!$A$21:$A$25))))</f>
      </c>
      <c r="M553" s="32">
        <f>IF($A553="","",L553*IFERROR(INDEX(Settings!$B$30:$B$36,MATCH($B553,Settings!$A$30:$A$36,0)),0))</f>
      </c>
      <c r="N553" s="32">
        <f t="shared" si="41"/>
      </c>
      <c r="O553" s="33">
        <f t="shared" si="42"/>
      </c>
      <c r="P553" s="32">
        <f t="shared" si="43"/>
      </c>
      <c r="Q553" s="33">
        <f t="shared" si="44"/>
      </c>
    </row>
    <row r="554" spans="1:17" x14ac:dyDescent="0.25">
      <c r="A554" s="22"/>
      <c r="B554" s="5"/>
      <c r="C554" s="5"/>
      <c r="D554" s="5"/>
      <c r="E554" s="5"/>
      <c r="F554" s="5"/>
      <c r="G554" s="5"/>
      <c r="H554" s="23"/>
      <c r="I554" s="23"/>
      <c r="J554" s="5"/>
      <c r="K554" s="31">
        <f t="shared" si="40"/>
      </c>
      <c r="L554" s="32">
        <f>IF($A554="","",C554*SUMIFS(Settings!$B$21:$B$25,Settings!$A$21:$A$25,SUMPRODUCT(MAX((Settings!$A$21:$A$25&lt;=$A554)*Settings!$A$21:$A$25)))+D554*SUMIFS(Settings!$C$21:$C$25,Settings!$A$21:$A$25,SUMPRODUCT(MAX((Settings!$A$21:$A$25&lt;=$A554)*Settings!$A$21:$A$25))))</f>
      </c>
      <c r="M554" s="32">
        <f>IF($A554="","",L554*IFERROR(INDEX(Settings!$B$30:$B$36,MATCH($B554,Settings!$A$30:$A$36,0)),0))</f>
      </c>
      <c r="N554" s="32">
        <f t="shared" si="41"/>
      </c>
      <c r="O554" s="33">
        <f t="shared" si="42"/>
      </c>
      <c r="P554" s="32">
        <f t="shared" si="43"/>
      </c>
      <c r="Q554" s="33">
        <f t="shared" si="44"/>
      </c>
    </row>
    <row r="555" spans="1:17" x14ac:dyDescent="0.25">
      <c r="A555" s="22"/>
      <c r="B555" s="5"/>
      <c r="C555" s="5"/>
      <c r="D555" s="5"/>
      <c r="E555" s="5"/>
      <c r="F555" s="5"/>
      <c r="G555" s="5"/>
      <c r="H555" s="23"/>
      <c r="I555" s="23"/>
      <c r="J555" s="5"/>
      <c r="K555" s="31">
        <f t="shared" si="40"/>
      </c>
      <c r="L555" s="32">
        <f>IF($A555="","",C555*SUMIFS(Settings!$B$21:$B$25,Settings!$A$21:$A$25,SUMPRODUCT(MAX((Settings!$A$21:$A$25&lt;=$A555)*Settings!$A$21:$A$25)))+D555*SUMIFS(Settings!$C$21:$C$25,Settings!$A$21:$A$25,SUMPRODUCT(MAX((Settings!$A$21:$A$25&lt;=$A555)*Settings!$A$21:$A$25))))</f>
      </c>
      <c r="M555" s="32">
        <f>IF($A555="","",L555*IFERROR(INDEX(Settings!$B$30:$B$36,MATCH($B555,Settings!$A$30:$A$36,0)),0))</f>
      </c>
      <c r="N555" s="32">
        <f t="shared" si="41"/>
      </c>
      <c r="O555" s="33">
        <f t="shared" si="42"/>
      </c>
      <c r="P555" s="32">
        <f t="shared" si="43"/>
      </c>
      <c r="Q555" s="33">
        <f t="shared" si="44"/>
      </c>
    </row>
    <row r="556" spans="1:17" x14ac:dyDescent="0.25">
      <c r="A556" s="22"/>
      <c r="B556" s="5"/>
      <c r="C556" s="5"/>
      <c r="D556" s="5"/>
      <c r="E556" s="5"/>
      <c r="F556" s="5"/>
      <c r="G556" s="5"/>
      <c r="H556" s="23"/>
      <c r="I556" s="23"/>
      <c r="J556" s="5"/>
      <c r="K556" s="31">
        <f t="shared" si="40"/>
      </c>
      <c r="L556" s="32">
        <f>IF($A556="","",C556*SUMIFS(Settings!$B$21:$B$25,Settings!$A$21:$A$25,SUMPRODUCT(MAX((Settings!$A$21:$A$25&lt;=$A556)*Settings!$A$21:$A$25)))+D556*SUMIFS(Settings!$C$21:$C$25,Settings!$A$21:$A$25,SUMPRODUCT(MAX((Settings!$A$21:$A$25&lt;=$A556)*Settings!$A$21:$A$25))))</f>
      </c>
      <c r="M556" s="32">
        <f>IF($A556="","",L556*IFERROR(INDEX(Settings!$B$30:$B$36,MATCH($B556,Settings!$A$30:$A$36,0)),0))</f>
      </c>
      <c r="N556" s="32">
        <f t="shared" si="41"/>
      </c>
      <c r="O556" s="33">
        <f t="shared" si="42"/>
      </c>
      <c r="P556" s="32">
        <f t="shared" si="43"/>
      </c>
      <c r="Q556" s="33">
        <f t="shared" si="44"/>
      </c>
    </row>
    <row r="557" spans="1:17" x14ac:dyDescent="0.25">
      <c r="A557" s="22"/>
      <c r="B557" s="5"/>
      <c r="C557" s="5"/>
      <c r="D557" s="5"/>
      <c r="E557" s="5"/>
      <c r="F557" s="5"/>
      <c r="G557" s="5"/>
      <c r="H557" s="23"/>
      <c r="I557" s="23"/>
      <c r="J557" s="5"/>
      <c r="K557" s="31">
        <f t="shared" si="40"/>
      </c>
      <c r="L557" s="32">
        <f>IF($A557="","",C557*SUMIFS(Settings!$B$21:$B$25,Settings!$A$21:$A$25,SUMPRODUCT(MAX((Settings!$A$21:$A$25&lt;=$A557)*Settings!$A$21:$A$25)))+D557*SUMIFS(Settings!$C$21:$C$25,Settings!$A$21:$A$25,SUMPRODUCT(MAX((Settings!$A$21:$A$25&lt;=$A557)*Settings!$A$21:$A$25))))</f>
      </c>
      <c r="M557" s="32">
        <f>IF($A557="","",L557*IFERROR(INDEX(Settings!$B$30:$B$36,MATCH($B557,Settings!$A$30:$A$36,0)),0))</f>
      </c>
      <c r="N557" s="32">
        <f t="shared" si="41"/>
      </c>
      <c r="O557" s="33">
        <f t="shared" si="42"/>
      </c>
      <c r="P557" s="32">
        <f t="shared" si="43"/>
      </c>
      <c r="Q557" s="33">
        <f t="shared" si="44"/>
      </c>
    </row>
    <row r="558" spans="1:17" x14ac:dyDescent="0.25">
      <c r="A558" s="22"/>
      <c r="B558" s="5"/>
      <c r="C558" s="5"/>
      <c r="D558" s="5"/>
      <c r="E558" s="5"/>
      <c r="F558" s="5"/>
      <c r="G558" s="5"/>
      <c r="H558" s="23"/>
      <c r="I558" s="23"/>
      <c r="J558" s="5"/>
      <c r="K558" s="31">
        <f t="shared" si="40"/>
      </c>
      <c r="L558" s="32">
        <f>IF($A558="","",C558*SUMIFS(Settings!$B$21:$B$25,Settings!$A$21:$A$25,SUMPRODUCT(MAX((Settings!$A$21:$A$25&lt;=$A558)*Settings!$A$21:$A$25)))+D558*SUMIFS(Settings!$C$21:$C$25,Settings!$A$21:$A$25,SUMPRODUCT(MAX((Settings!$A$21:$A$25&lt;=$A558)*Settings!$A$21:$A$25))))</f>
      </c>
      <c r="M558" s="32">
        <f>IF($A558="","",L558*IFERROR(INDEX(Settings!$B$30:$B$36,MATCH($B558,Settings!$A$30:$A$36,0)),0))</f>
      </c>
      <c r="N558" s="32">
        <f t="shared" si="41"/>
      </c>
      <c r="O558" s="33">
        <f t="shared" si="42"/>
      </c>
      <c r="P558" s="32">
        <f t="shared" si="43"/>
      </c>
      <c r="Q558" s="33">
        <f t="shared" si="44"/>
      </c>
    </row>
    <row r="559" spans="1:17" x14ac:dyDescent="0.25">
      <c r="A559" s="22"/>
      <c r="B559" s="5"/>
      <c r="C559" s="5"/>
      <c r="D559" s="5"/>
      <c r="E559" s="5"/>
      <c r="F559" s="5"/>
      <c r="G559" s="5"/>
      <c r="H559" s="23"/>
      <c r="I559" s="23"/>
      <c r="J559" s="5"/>
      <c r="K559" s="31">
        <f t="shared" si="40"/>
      </c>
      <c r="L559" s="32">
        <f>IF($A559="","",C559*SUMIFS(Settings!$B$21:$B$25,Settings!$A$21:$A$25,SUMPRODUCT(MAX((Settings!$A$21:$A$25&lt;=$A559)*Settings!$A$21:$A$25)))+D559*SUMIFS(Settings!$C$21:$C$25,Settings!$A$21:$A$25,SUMPRODUCT(MAX((Settings!$A$21:$A$25&lt;=$A559)*Settings!$A$21:$A$25))))</f>
      </c>
      <c r="M559" s="32">
        <f>IF($A559="","",L559*IFERROR(INDEX(Settings!$B$30:$B$36,MATCH($B559,Settings!$A$30:$A$36,0)),0))</f>
      </c>
      <c r="N559" s="32">
        <f t="shared" si="41"/>
      </c>
      <c r="O559" s="33">
        <f t="shared" si="42"/>
      </c>
      <c r="P559" s="32">
        <f t="shared" si="43"/>
      </c>
      <c r="Q559" s="33">
        <f t="shared" si="44"/>
      </c>
    </row>
    <row r="560" spans="1:17" x14ac:dyDescent="0.25">
      <c r="A560" s="22"/>
      <c r="B560" s="5"/>
      <c r="C560" s="5"/>
      <c r="D560" s="5"/>
      <c r="E560" s="5"/>
      <c r="F560" s="5"/>
      <c r="G560" s="5"/>
      <c r="H560" s="23"/>
      <c r="I560" s="23"/>
      <c r="J560" s="5"/>
      <c r="K560" s="31">
        <f t="shared" si="40"/>
      </c>
      <c r="L560" s="32">
        <f>IF($A560="","",C560*SUMIFS(Settings!$B$21:$B$25,Settings!$A$21:$A$25,SUMPRODUCT(MAX((Settings!$A$21:$A$25&lt;=$A560)*Settings!$A$21:$A$25)))+D560*SUMIFS(Settings!$C$21:$C$25,Settings!$A$21:$A$25,SUMPRODUCT(MAX((Settings!$A$21:$A$25&lt;=$A560)*Settings!$A$21:$A$25))))</f>
      </c>
      <c r="M560" s="32">
        <f>IF($A560="","",L560*IFERROR(INDEX(Settings!$B$30:$B$36,MATCH($B560,Settings!$A$30:$A$36,0)),0))</f>
      </c>
      <c r="N560" s="32">
        <f t="shared" si="41"/>
      </c>
      <c r="O560" s="33">
        <f t="shared" si="42"/>
      </c>
      <c r="P560" s="32">
        <f t="shared" si="43"/>
      </c>
      <c r="Q560" s="33">
        <f t="shared" si="44"/>
      </c>
    </row>
    <row r="561" spans="1:17" x14ac:dyDescent="0.25">
      <c r="A561" s="22"/>
      <c r="B561" s="5"/>
      <c r="C561" s="5"/>
      <c r="D561" s="5"/>
      <c r="E561" s="5"/>
      <c r="F561" s="5"/>
      <c r="G561" s="5"/>
      <c r="H561" s="23"/>
      <c r="I561" s="23"/>
      <c r="J561" s="5"/>
      <c r="K561" s="31">
        <f t="shared" si="40"/>
      </c>
      <c r="L561" s="32">
        <f>IF($A561="","",C561*SUMIFS(Settings!$B$21:$B$25,Settings!$A$21:$A$25,SUMPRODUCT(MAX((Settings!$A$21:$A$25&lt;=$A561)*Settings!$A$21:$A$25)))+D561*SUMIFS(Settings!$C$21:$C$25,Settings!$A$21:$A$25,SUMPRODUCT(MAX((Settings!$A$21:$A$25&lt;=$A561)*Settings!$A$21:$A$25))))</f>
      </c>
      <c r="M561" s="32">
        <f>IF($A561="","",L561*IFERROR(INDEX(Settings!$B$30:$B$36,MATCH($B561,Settings!$A$30:$A$36,0)),0))</f>
      </c>
      <c r="N561" s="32">
        <f t="shared" si="41"/>
      </c>
      <c r="O561" s="33">
        <f t="shared" si="42"/>
      </c>
      <c r="P561" s="32">
        <f t="shared" si="43"/>
      </c>
      <c r="Q561" s="33">
        <f t="shared" si="44"/>
      </c>
    </row>
    <row r="562" spans="1:17" x14ac:dyDescent="0.25">
      <c r="A562" s="22"/>
      <c r="B562" s="5"/>
      <c r="C562" s="5"/>
      <c r="D562" s="5"/>
      <c r="E562" s="5"/>
      <c r="F562" s="5"/>
      <c r="G562" s="5"/>
      <c r="H562" s="23"/>
      <c r="I562" s="23"/>
      <c r="J562" s="5"/>
      <c r="K562" s="31">
        <f t="shared" si="40"/>
      </c>
      <c r="L562" s="32">
        <f>IF($A562="","",C562*SUMIFS(Settings!$B$21:$B$25,Settings!$A$21:$A$25,SUMPRODUCT(MAX((Settings!$A$21:$A$25&lt;=$A562)*Settings!$A$21:$A$25)))+D562*SUMIFS(Settings!$C$21:$C$25,Settings!$A$21:$A$25,SUMPRODUCT(MAX((Settings!$A$21:$A$25&lt;=$A562)*Settings!$A$21:$A$25))))</f>
      </c>
      <c r="M562" s="32">
        <f>IF($A562="","",L562*IFERROR(INDEX(Settings!$B$30:$B$36,MATCH($B562,Settings!$A$30:$A$36,0)),0))</f>
      </c>
      <c r="N562" s="32">
        <f t="shared" si="41"/>
      </c>
      <c r="O562" s="33">
        <f t="shared" si="42"/>
      </c>
      <c r="P562" s="32">
        <f t="shared" si="43"/>
      </c>
      <c r="Q562" s="33">
        <f t="shared" si="44"/>
      </c>
    </row>
    <row r="563" spans="1:17" x14ac:dyDescent="0.25">
      <c r="A563" s="22"/>
      <c r="B563" s="5"/>
      <c r="C563" s="5"/>
      <c r="D563" s="5"/>
      <c r="E563" s="5"/>
      <c r="F563" s="5"/>
      <c r="G563" s="5"/>
      <c r="H563" s="23"/>
      <c r="I563" s="23"/>
      <c r="J563" s="5"/>
      <c r="K563" s="31">
        <f t="shared" si="40"/>
      </c>
      <c r="L563" s="32">
        <f>IF($A563="","",C563*SUMIFS(Settings!$B$21:$B$25,Settings!$A$21:$A$25,SUMPRODUCT(MAX((Settings!$A$21:$A$25&lt;=$A563)*Settings!$A$21:$A$25)))+D563*SUMIFS(Settings!$C$21:$C$25,Settings!$A$21:$A$25,SUMPRODUCT(MAX((Settings!$A$21:$A$25&lt;=$A563)*Settings!$A$21:$A$25))))</f>
      </c>
      <c r="M563" s="32">
        <f>IF($A563="","",L563*IFERROR(INDEX(Settings!$B$30:$B$36,MATCH($B563,Settings!$A$30:$A$36,0)),0))</f>
      </c>
      <c r="N563" s="32">
        <f t="shared" si="41"/>
      </c>
      <c r="O563" s="33">
        <f t="shared" si="42"/>
      </c>
      <c r="P563" s="32">
        <f t="shared" si="43"/>
      </c>
      <c r="Q563" s="33">
        <f t="shared" si="44"/>
      </c>
    </row>
    <row r="564" spans="1:17" x14ac:dyDescent="0.25">
      <c r="A564" s="22"/>
      <c r="B564" s="5"/>
      <c r="C564" s="5"/>
      <c r="D564" s="5"/>
      <c r="E564" s="5"/>
      <c r="F564" s="5"/>
      <c r="G564" s="5"/>
      <c r="H564" s="23"/>
      <c r="I564" s="23"/>
      <c r="J564" s="5"/>
      <c r="K564" s="31">
        <f t="shared" si="40"/>
      </c>
      <c r="L564" s="32">
        <f>IF($A564="","",C564*SUMIFS(Settings!$B$21:$B$25,Settings!$A$21:$A$25,SUMPRODUCT(MAX((Settings!$A$21:$A$25&lt;=$A564)*Settings!$A$21:$A$25)))+D564*SUMIFS(Settings!$C$21:$C$25,Settings!$A$21:$A$25,SUMPRODUCT(MAX((Settings!$A$21:$A$25&lt;=$A564)*Settings!$A$21:$A$25))))</f>
      </c>
      <c r="M564" s="32">
        <f>IF($A564="","",L564*IFERROR(INDEX(Settings!$B$30:$B$36,MATCH($B564,Settings!$A$30:$A$36,0)),0))</f>
      </c>
      <c r="N564" s="32">
        <f t="shared" si="41"/>
      </c>
      <c r="O564" s="33">
        <f t="shared" si="42"/>
      </c>
      <c r="P564" s="32">
        <f t="shared" si="43"/>
      </c>
      <c r="Q564" s="33">
        <f t="shared" si="44"/>
      </c>
    </row>
    <row r="565" spans="1:17" x14ac:dyDescent="0.25">
      <c r="A565" s="22"/>
      <c r="B565" s="5"/>
      <c r="C565" s="5"/>
      <c r="D565" s="5"/>
      <c r="E565" s="5"/>
      <c r="F565" s="5"/>
      <c r="G565" s="5"/>
      <c r="H565" s="23"/>
      <c r="I565" s="23"/>
      <c r="J565" s="5"/>
      <c r="K565" s="31">
        <f t="shared" si="40"/>
      </c>
      <c r="L565" s="32">
        <f>IF($A565="","",C565*SUMIFS(Settings!$B$21:$B$25,Settings!$A$21:$A$25,SUMPRODUCT(MAX((Settings!$A$21:$A$25&lt;=$A565)*Settings!$A$21:$A$25)))+D565*SUMIFS(Settings!$C$21:$C$25,Settings!$A$21:$A$25,SUMPRODUCT(MAX((Settings!$A$21:$A$25&lt;=$A565)*Settings!$A$21:$A$25))))</f>
      </c>
      <c r="M565" s="32">
        <f>IF($A565="","",L565*IFERROR(INDEX(Settings!$B$30:$B$36,MATCH($B565,Settings!$A$30:$A$36,0)),0))</f>
      </c>
      <c r="N565" s="32">
        <f t="shared" si="41"/>
      </c>
      <c r="O565" s="33">
        <f t="shared" si="42"/>
      </c>
      <c r="P565" s="32">
        <f t="shared" si="43"/>
      </c>
      <c r="Q565" s="33">
        <f t="shared" si="44"/>
      </c>
    </row>
    <row r="566" spans="1:17" x14ac:dyDescent="0.25">
      <c r="A566" s="22"/>
      <c r="B566" s="5"/>
      <c r="C566" s="5"/>
      <c r="D566" s="5"/>
      <c r="E566" s="5"/>
      <c r="F566" s="5"/>
      <c r="G566" s="5"/>
      <c r="H566" s="23"/>
      <c r="I566" s="23"/>
      <c r="J566" s="5"/>
      <c r="K566" s="31">
        <f t="shared" si="40"/>
      </c>
      <c r="L566" s="32">
        <f>IF($A566="","",C566*SUMIFS(Settings!$B$21:$B$25,Settings!$A$21:$A$25,SUMPRODUCT(MAX((Settings!$A$21:$A$25&lt;=$A566)*Settings!$A$21:$A$25)))+D566*SUMIFS(Settings!$C$21:$C$25,Settings!$A$21:$A$25,SUMPRODUCT(MAX((Settings!$A$21:$A$25&lt;=$A566)*Settings!$A$21:$A$25))))</f>
      </c>
      <c r="M566" s="32">
        <f>IF($A566="","",L566*IFERROR(INDEX(Settings!$B$30:$B$36,MATCH($B566,Settings!$A$30:$A$36,0)),0))</f>
      </c>
      <c r="N566" s="32">
        <f t="shared" si="41"/>
      </c>
      <c r="O566" s="33">
        <f t="shared" si="42"/>
      </c>
      <c r="P566" s="32">
        <f t="shared" si="43"/>
      </c>
      <c r="Q566" s="33">
        <f t="shared" si="44"/>
      </c>
    </row>
    <row r="567" spans="1:17" x14ac:dyDescent="0.25">
      <c r="A567" s="22"/>
      <c r="B567" s="5"/>
      <c r="C567" s="5"/>
      <c r="D567" s="5"/>
      <c r="E567" s="5"/>
      <c r="F567" s="5"/>
      <c r="G567" s="5"/>
      <c r="H567" s="23"/>
      <c r="I567" s="23"/>
      <c r="J567" s="5"/>
      <c r="K567" s="31">
        <f t="shared" si="40"/>
      </c>
      <c r="L567" s="32">
        <f>IF($A567="","",C567*SUMIFS(Settings!$B$21:$B$25,Settings!$A$21:$A$25,SUMPRODUCT(MAX((Settings!$A$21:$A$25&lt;=$A567)*Settings!$A$21:$A$25)))+D567*SUMIFS(Settings!$C$21:$C$25,Settings!$A$21:$A$25,SUMPRODUCT(MAX((Settings!$A$21:$A$25&lt;=$A567)*Settings!$A$21:$A$25))))</f>
      </c>
      <c r="M567" s="32">
        <f>IF($A567="","",L567*IFERROR(INDEX(Settings!$B$30:$B$36,MATCH($B567,Settings!$A$30:$A$36,0)),0))</f>
      </c>
      <c r="N567" s="32">
        <f t="shared" si="41"/>
      </c>
      <c r="O567" s="33">
        <f t="shared" si="42"/>
      </c>
      <c r="P567" s="32">
        <f t="shared" si="43"/>
      </c>
      <c r="Q567" s="33">
        <f t="shared" si="44"/>
      </c>
    </row>
    <row r="568" spans="1:17" x14ac:dyDescent="0.25">
      <c r="A568" s="22"/>
      <c r="B568" s="5"/>
      <c r="C568" s="5"/>
      <c r="D568" s="5"/>
      <c r="E568" s="5"/>
      <c r="F568" s="5"/>
      <c r="G568" s="5"/>
      <c r="H568" s="23"/>
      <c r="I568" s="23"/>
      <c r="J568" s="5"/>
      <c r="K568" s="31">
        <f t="shared" si="40"/>
      </c>
      <c r="L568" s="32">
        <f>IF($A568="","",C568*SUMIFS(Settings!$B$21:$B$25,Settings!$A$21:$A$25,SUMPRODUCT(MAX((Settings!$A$21:$A$25&lt;=$A568)*Settings!$A$21:$A$25)))+D568*SUMIFS(Settings!$C$21:$C$25,Settings!$A$21:$A$25,SUMPRODUCT(MAX((Settings!$A$21:$A$25&lt;=$A568)*Settings!$A$21:$A$25))))</f>
      </c>
      <c r="M568" s="32">
        <f>IF($A568="","",L568*IFERROR(INDEX(Settings!$B$30:$B$36,MATCH($B568,Settings!$A$30:$A$36,0)),0))</f>
      </c>
      <c r="N568" s="32">
        <f t="shared" si="41"/>
      </c>
      <c r="O568" s="33">
        <f t="shared" si="42"/>
      </c>
      <c r="P568" s="32">
        <f t="shared" si="43"/>
      </c>
      <c r="Q568" s="33">
        <f t="shared" si="44"/>
      </c>
    </row>
    <row r="569" spans="1:17" x14ac:dyDescent="0.25">
      <c r="A569" s="22"/>
      <c r="B569" s="5"/>
      <c r="C569" s="5"/>
      <c r="D569" s="5"/>
      <c r="E569" s="5"/>
      <c r="F569" s="5"/>
      <c r="G569" s="5"/>
      <c r="H569" s="23"/>
      <c r="I569" s="23"/>
      <c r="J569" s="5"/>
      <c r="K569" s="31">
        <f t="shared" si="40"/>
      </c>
      <c r="L569" s="32">
        <f>IF($A569="","",C569*SUMIFS(Settings!$B$21:$B$25,Settings!$A$21:$A$25,SUMPRODUCT(MAX((Settings!$A$21:$A$25&lt;=$A569)*Settings!$A$21:$A$25)))+D569*SUMIFS(Settings!$C$21:$C$25,Settings!$A$21:$A$25,SUMPRODUCT(MAX((Settings!$A$21:$A$25&lt;=$A569)*Settings!$A$21:$A$25))))</f>
      </c>
      <c r="M569" s="32">
        <f>IF($A569="","",L569*IFERROR(INDEX(Settings!$B$30:$B$36,MATCH($B569,Settings!$A$30:$A$36,0)),0))</f>
      </c>
      <c r="N569" s="32">
        <f t="shared" si="41"/>
      </c>
      <c r="O569" s="33">
        <f t="shared" si="42"/>
      </c>
      <c r="P569" s="32">
        <f t="shared" si="43"/>
      </c>
      <c r="Q569" s="33">
        <f t="shared" si="44"/>
      </c>
    </row>
    <row r="570" spans="1:17" x14ac:dyDescent="0.25">
      <c r="A570" s="22"/>
      <c r="B570" s="5"/>
      <c r="C570" s="5"/>
      <c r="D570" s="5"/>
      <c r="E570" s="5"/>
      <c r="F570" s="5"/>
      <c r="G570" s="5"/>
      <c r="H570" s="23"/>
      <c r="I570" s="23"/>
      <c r="J570" s="5"/>
      <c r="K570" s="31">
        <f t="shared" si="40"/>
      </c>
      <c r="L570" s="32">
        <f>IF($A570="","",C570*SUMIFS(Settings!$B$21:$B$25,Settings!$A$21:$A$25,SUMPRODUCT(MAX((Settings!$A$21:$A$25&lt;=$A570)*Settings!$A$21:$A$25)))+D570*SUMIFS(Settings!$C$21:$C$25,Settings!$A$21:$A$25,SUMPRODUCT(MAX((Settings!$A$21:$A$25&lt;=$A570)*Settings!$A$21:$A$25))))</f>
      </c>
      <c r="M570" s="32">
        <f>IF($A570="","",L570*IFERROR(INDEX(Settings!$B$30:$B$36,MATCH($B570,Settings!$A$30:$A$36,0)),0))</f>
      </c>
      <c r="N570" s="32">
        <f t="shared" si="41"/>
      </c>
      <c r="O570" s="33">
        <f t="shared" si="42"/>
      </c>
      <c r="P570" s="32">
        <f t="shared" si="43"/>
      </c>
      <c r="Q570" s="33">
        <f t="shared" si="44"/>
      </c>
    </row>
    <row r="571" spans="1:17" x14ac:dyDescent="0.25">
      <c r="A571" s="22"/>
      <c r="B571" s="5"/>
      <c r="C571" s="5"/>
      <c r="D571" s="5"/>
      <c r="E571" s="5"/>
      <c r="F571" s="5"/>
      <c r="G571" s="5"/>
      <c r="H571" s="23"/>
      <c r="I571" s="23"/>
      <c r="J571" s="5"/>
      <c r="K571" s="31">
        <f t="shared" si="40"/>
      </c>
      <c r="L571" s="32">
        <f>IF($A571="","",C571*SUMIFS(Settings!$B$21:$B$25,Settings!$A$21:$A$25,SUMPRODUCT(MAX((Settings!$A$21:$A$25&lt;=$A571)*Settings!$A$21:$A$25)))+D571*SUMIFS(Settings!$C$21:$C$25,Settings!$A$21:$A$25,SUMPRODUCT(MAX((Settings!$A$21:$A$25&lt;=$A571)*Settings!$A$21:$A$25))))</f>
      </c>
      <c r="M571" s="32">
        <f>IF($A571="","",L571*IFERROR(INDEX(Settings!$B$30:$B$36,MATCH($B571,Settings!$A$30:$A$36,0)),0))</f>
      </c>
      <c r="N571" s="32">
        <f t="shared" si="41"/>
      </c>
      <c r="O571" s="33">
        <f t="shared" si="42"/>
      </c>
      <c r="P571" s="32">
        <f t="shared" si="43"/>
      </c>
      <c r="Q571" s="33">
        <f t="shared" si="44"/>
      </c>
    </row>
    <row r="572" spans="1:17" x14ac:dyDescent="0.25">
      <c r="A572" s="22"/>
      <c r="B572" s="5"/>
      <c r="C572" s="5"/>
      <c r="D572" s="5"/>
      <c r="E572" s="5"/>
      <c r="F572" s="5"/>
      <c r="G572" s="5"/>
      <c r="H572" s="23"/>
      <c r="I572" s="23"/>
      <c r="J572" s="5"/>
      <c r="K572" s="31">
        <f t="shared" si="40"/>
      </c>
      <c r="L572" s="32">
        <f>IF($A572="","",C572*SUMIFS(Settings!$B$21:$B$25,Settings!$A$21:$A$25,SUMPRODUCT(MAX((Settings!$A$21:$A$25&lt;=$A572)*Settings!$A$21:$A$25)))+D572*SUMIFS(Settings!$C$21:$C$25,Settings!$A$21:$A$25,SUMPRODUCT(MAX((Settings!$A$21:$A$25&lt;=$A572)*Settings!$A$21:$A$25))))</f>
      </c>
      <c r="M572" s="32">
        <f>IF($A572="","",L572*IFERROR(INDEX(Settings!$B$30:$B$36,MATCH($B572,Settings!$A$30:$A$36,0)),0))</f>
      </c>
      <c r="N572" s="32">
        <f t="shared" si="41"/>
      </c>
      <c r="O572" s="33">
        <f t="shared" si="42"/>
      </c>
      <c r="P572" s="32">
        <f t="shared" si="43"/>
      </c>
      <c r="Q572" s="33">
        <f t="shared" si="44"/>
      </c>
    </row>
    <row r="573" spans="1:17" x14ac:dyDescent="0.25">
      <c r="A573" s="22"/>
      <c r="B573" s="5"/>
      <c r="C573" s="5"/>
      <c r="D573" s="5"/>
      <c r="E573" s="5"/>
      <c r="F573" s="5"/>
      <c r="G573" s="5"/>
      <c r="H573" s="23"/>
      <c r="I573" s="23"/>
      <c r="J573" s="5"/>
      <c r="K573" s="31">
        <f t="shared" si="40"/>
      </c>
      <c r="L573" s="32">
        <f>IF($A573="","",C573*SUMIFS(Settings!$B$21:$B$25,Settings!$A$21:$A$25,SUMPRODUCT(MAX((Settings!$A$21:$A$25&lt;=$A573)*Settings!$A$21:$A$25)))+D573*SUMIFS(Settings!$C$21:$C$25,Settings!$A$21:$A$25,SUMPRODUCT(MAX((Settings!$A$21:$A$25&lt;=$A573)*Settings!$A$21:$A$25))))</f>
      </c>
      <c r="M573" s="32">
        <f>IF($A573="","",L573*IFERROR(INDEX(Settings!$B$30:$B$36,MATCH($B573,Settings!$A$30:$A$36,0)),0))</f>
      </c>
      <c r="N573" s="32">
        <f t="shared" si="41"/>
      </c>
      <c r="O573" s="33">
        <f t="shared" si="42"/>
      </c>
      <c r="P573" s="32">
        <f t="shared" si="43"/>
      </c>
      <c r="Q573" s="33">
        <f t="shared" si="44"/>
      </c>
    </row>
    <row r="574" spans="1:17" x14ac:dyDescent="0.25">
      <c r="A574" s="22"/>
      <c r="B574" s="5"/>
      <c r="C574" s="5"/>
      <c r="D574" s="5"/>
      <c r="E574" s="5"/>
      <c r="F574" s="5"/>
      <c r="G574" s="5"/>
      <c r="H574" s="23"/>
      <c r="I574" s="23"/>
      <c r="J574" s="5"/>
      <c r="K574" s="31">
        <f t="shared" si="40"/>
      </c>
      <c r="L574" s="32">
        <f>IF($A574="","",C574*SUMIFS(Settings!$B$21:$B$25,Settings!$A$21:$A$25,SUMPRODUCT(MAX((Settings!$A$21:$A$25&lt;=$A574)*Settings!$A$21:$A$25)))+D574*SUMIFS(Settings!$C$21:$C$25,Settings!$A$21:$A$25,SUMPRODUCT(MAX((Settings!$A$21:$A$25&lt;=$A574)*Settings!$A$21:$A$25))))</f>
      </c>
      <c r="M574" s="32">
        <f>IF($A574="","",L574*IFERROR(INDEX(Settings!$B$30:$B$36,MATCH($B574,Settings!$A$30:$A$36,0)),0))</f>
      </c>
      <c r="N574" s="32">
        <f t="shared" si="41"/>
      </c>
      <c r="O574" s="33">
        <f t="shared" si="42"/>
      </c>
      <c r="P574" s="32">
        <f t="shared" si="43"/>
      </c>
      <c r="Q574" s="33">
        <f t="shared" si="44"/>
      </c>
    </row>
    <row r="575" spans="1:17" x14ac:dyDescent="0.25">
      <c r="A575" s="22"/>
      <c r="B575" s="5"/>
      <c r="C575" s="5"/>
      <c r="D575" s="5"/>
      <c r="E575" s="5"/>
      <c r="F575" s="5"/>
      <c r="G575" s="5"/>
      <c r="H575" s="23"/>
      <c r="I575" s="23"/>
      <c r="J575" s="5"/>
      <c r="K575" s="31">
        <f t="shared" si="40"/>
      </c>
      <c r="L575" s="32">
        <f>IF($A575="","",C575*SUMIFS(Settings!$B$21:$B$25,Settings!$A$21:$A$25,SUMPRODUCT(MAX((Settings!$A$21:$A$25&lt;=$A575)*Settings!$A$21:$A$25)))+D575*SUMIFS(Settings!$C$21:$C$25,Settings!$A$21:$A$25,SUMPRODUCT(MAX((Settings!$A$21:$A$25&lt;=$A575)*Settings!$A$21:$A$25))))</f>
      </c>
      <c r="M575" s="32">
        <f>IF($A575="","",L575*IFERROR(INDEX(Settings!$B$30:$B$36,MATCH($B575,Settings!$A$30:$A$36,0)),0))</f>
      </c>
      <c r="N575" s="32">
        <f t="shared" si="41"/>
      </c>
      <c r="O575" s="33">
        <f t="shared" si="42"/>
      </c>
      <c r="P575" s="32">
        <f t="shared" si="43"/>
      </c>
      <c r="Q575" s="33">
        <f t="shared" si="44"/>
      </c>
    </row>
    <row r="576" spans="1:17" x14ac:dyDescent="0.25">
      <c r="A576" s="22"/>
      <c r="B576" s="5"/>
      <c r="C576" s="5"/>
      <c r="D576" s="5"/>
      <c r="E576" s="5"/>
      <c r="F576" s="5"/>
      <c r="G576" s="5"/>
      <c r="H576" s="23"/>
      <c r="I576" s="23"/>
      <c r="J576" s="5"/>
      <c r="K576" s="31">
        <f t="shared" si="40"/>
      </c>
      <c r="L576" s="32">
        <f>IF($A576="","",C576*SUMIFS(Settings!$B$21:$B$25,Settings!$A$21:$A$25,SUMPRODUCT(MAX((Settings!$A$21:$A$25&lt;=$A576)*Settings!$A$21:$A$25)))+D576*SUMIFS(Settings!$C$21:$C$25,Settings!$A$21:$A$25,SUMPRODUCT(MAX((Settings!$A$21:$A$25&lt;=$A576)*Settings!$A$21:$A$25))))</f>
      </c>
      <c r="M576" s="32">
        <f>IF($A576="","",L576*IFERROR(INDEX(Settings!$B$30:$B$36,MATCH($B576,Settings!$A$30:$A$36,0)),0))</f>
      </c>
      <c r="N576" s="32">
        <f t="shared" si="41"/>
      </c>
      <c r="O576" s="33">
        <f t="shared" si="42"/>
      </c>
      <c r="P576" s="32">
        <f t="shared" si="43"/>
      </c>
      <c r="Q576" s="33">
        <f t="shared" si="44"/>
      </c>
    </row>
    <row r="577" spans="1:17" x14ac:dyDescent="0.25">
      <c r="A577" s="22"/>
      <c r="B577" s="5"/>
      <c r="C577" s="5"/>
      <c r="D577" s="5"/>
      <c r="E577" s="5"/>
      <c r="F577" s="5"/>
      <c r="G577" s="5"/>
      <c r="H577" s="23"/>
      <c r="I577" s="23"/>
      <c r="J577" s="5"/>
      <c r="K577" s="31">
        <f t="shared" si="40"/>
      </c>
      <c r="L577" s="32">
        <f>IF($A577="","",C577*SUMIFS(Settings!$B$21:$B$25,Settings!$A$21:$A$25,SUMPRODUCT(MAX((Settings!$A$21:$A$25&lt;=$A577)*Settings!$A$21:$A$25)))+D577*SUMIFS(Settings!$C$21:$C$25,Settings!$A$21:$A$25,SUMPRODUCT(MAX((Settings!$A$21:$A$25&lt;=$A577)*Settings!$A$21:$A$25))))</f>
      </c>
      <c r="M577" s="32">
        <f>IF($A577="","",L577*IFERROR(INDEX(Settings!$B$30:$B$36,MATCH($B577,Settings!$A$30:$A$36,0)),0))</f>
      </c>
      <c r="N577" s="32">
        <f t="shared" si="41"/>
      </c>
      <c r="O577" s="33">
        <f t="shared" si="42"/>
      </c>
      <c r="P577" s="32">
        <f t="shared" si="43"/>
      </c>
      <c r="Q577" s="33">
        <f t="shared" si="44"/>
      </c>
    </row>
    <row r="578" spans="1:17" x14ac:dyDescent="0.25">
      <c r="A578" s="22"/>
      <c r="B578" s="5"/>
      <c r="C578" s="5"/>
      <c r="D578" s="5"/>
      <c r="E578" s="5"/>
      <c r="F578" s="5"/>
      <c r="G578" s="5"/>
      <c r="H578" s="23"/>
      <c r="I578" s="23"/>
      <c r="J578" s="5"/>
      <c r="K578" s="31">
        <f t="shared" si="40"/>
      </c>
      <c r="L578" s="32">
        <f>IF($A578="","",C578*SUMIFS(Settings!$B$21:$B$25,Settings!$A$21:$A$25,SUMPRODUCT(MAX((Settings!$A$21:$A$25&lt;=$A578)*Settings!$A$21:$A$25)))+D578*SUMIFS(Settings!$C$21:$C$25,Settings!$A$21:$A$25,SUMPRODUCT(MAX((Settings!$A$21:$A$25&lt;=$A578)*Settings!$A$21:$A$25))))</f>
      </c>
      <c r="M578" s="32">
        <f>IF($A578="","",L578*IFERROR(INDEX(Settings!$B$30:$B$36,MATCH($B578,Settings!$A$30:$A$36,0)),0))</f>
      </c>
      <c r="N578" s="32">
        <f t="shared" si="41"/>
      </c>
      <c r="O578" s="33">
        <f t="shared" si="42"/>
      </c>
      <c r="P578" s="32">
        <f t="shared" si="43"/>
      </c>
      <c r="Q578" s="33">
        <f t="shared" si="44"/>
      </c>
    </row>
    <row r="579" spans="1:17" x14ac:dyDescent="0.25">
      <c r="A579" s="22"/>
      <c r="B579" s="5"/>
      <c r="C579" s="5"/>
      <c r="D579" s="5"/>
      <c r="E579" s="5"/>
      <c r="F579" s="5"/>
      <c r="G579" s="5"/>
      <c r="H579" s="23"/>
      <c r="I579" s="23"/>
      <c r="J579" s="5"/>
      <c r="K579" s="31">
        <f t="shared" si="40"/>
      </c>
      <c r="L579" s="32">
        <f>IF($A579="","",C579*SUMIFS(Settings!$B$21:$B$25,Settings!$A$21:$A$25,SUMPRODUCT(MAX((Settings!$A$21:$A$25&lt;=$A579)*Settings!$A$21:$A$25)))+D579*SUMIFS(Settings!$C$21:$C$25,Settings!$A$21:$A$25,SUMPRODUCT(MAX((Settings!$A$21:$A$25&lt;=$A579)*Settings!$A$21:$A$25))))</f>
      </c>
      <c r="M579" s="32">
        <f>IF($A579="","",L579*IFERROR(INDEX(Settings!$B$30:$B$36,MATCH($B579,Settings!$A$30:$A$36,0)),0))</f>
      </c>
      <c r="N579" s="32">
        <f t="shared" si="41"/>
      </c>
      <c r="O579" s="33">
        <f t="shared" si="42"/>
      </c>
      <c r="P579" s="32">
        <f t="shared" si="43"/>
      </c>
      <c r="Q579" s="33">
        <f t="shared" si="44"/>
      </c>
    </row>
    <row r="580" spans="1:17" x14ac:dyDescent="0.25">
      <c r="A580" s="22"/>
      <c r="B580" s="5"/>
      <c r="C580" s="5"/>
      <c r="D580" s="5"/>
      <c r="E580" s="5"/>
      <c r="F580" s="5"/>
      <c r="G580" s="5"/>
      <c r="H580" s="23"/>
      <c r="I580" s="23"/>
      <c r="J580" s="5"/>
      <c r="K580" s="31">
        <f t="shared" si="40"/>
      </c>
      <c r="L580" s="32">
        <f>IF($A580="","",C580*SUMIFS(Settings!$B$21:$B$25,Settings!$A$21:$A$25,SUMPRODUCT(MAX((Settings!$A$21:$A$25&lt;=$A580)*Settings!$A$21:$A$25)))+D580*SUMIFS(Settings!$C$21:$C$25,Settings!$A$21:$A$25,SUMPRODUCT(MAX((Settings!$A$21:$A$25&lt;=$A580)*Settings!$A$21:$A$25))))</f>
      </c>
      <c r="M580" s="32">
        <f>IF($A580="","",L580*IFERROR(INDEX(Settings!$B$30:$B$36,MATCH($B580,Settings!$A$30:$A$36,0)),0))</f>
      </c>
      <c r="N580" s="32">
        <f t="shared" si="41"/>
      </c>
      <c r="O580" s="33">
        <f t="shared" si="42"/>
      </c>
      <c r="P580" s="32">
        <f t="shared" si="43"/>
      </c>
      <c r="Q580" s="33">
        <f t="shared" si="44"/>
      </c>
    </row>
    <row r="581" spans="1:17" x14ac:dyDescent="0.25">
      <c r="A581" s="22"/>
      <c r="B581" s="5"/>
      <c r="C581" s="5"/>
      <c r="D581" s="5"/>
      <c r="E581" s="5"/>
      <c r="F581" s="5"/>
      <c r="G581" s="5"/>
      <c r="H581" s="23"/>
      <c r="I581" s="23"/>
      <c r="J581" s="5"/>
      <c r="K581" s="31">
        <f t="shared" si="40"/>
      </c>
      <c r="L581" s="32">
        <f>IF($A581="","",C581*SUMIFS(Settings!$B$21:$B$25,Settings!$A$21:$A$25,SUMPRODUCT(MAX((Settings!$A$21:$A$25&lt;=$A581)*Settings!$A$21:$A$25)))+D581*SUMIFS(Settings!$C$21:$C$25,Settings!$A$21:$A$25,SUMPRODUCT(MAX((Settings!$A$21:$A$25&lt;=$A581)*Settings!$A$21:$A$25))))</f>
      </c>
      <c r="M581" s="32">
        <f>IF($A581="","",L581*IFERROR(INDEX(Settings!$B$30:$B$36,MATCH($B581,Settings!$A$30:$A$36,0)),0))</f>
      </c>
      <c r="N581" s="32">
        <f t="shared" si="41"/>
      </c>
      <c r="O581" s="33">
        <f t="shared" si="42"/>
      </c>
      <c r="P581" s="32">
        <f t="shared" si="43"/>
      </c>
      <c r="Q581" s="33">
        <f t="shared" si="44"/>
      </c>
    </row>
    <row r="582" spans="1:17" x14ac:dyDescent="0.25">
      <c r="A582" s="22"/>
      <c r="B582" s="5"/>
      <c r="C582" s="5"/>
      <c r="D582" s="5"/>
      <c r="E582" s="5"/>
      <c r="F582" s="5"/>
      <c r="G582" s="5"/>
      <c r="H582" s="23"/>
      <c r="I582" s="23"/>
      <c r="J582" s="5"/>
      <c r="K582" s="31">
        <f t="shared" ref="K582:K645" si="45">IF($A582="","",C582+D582)</f>
      </c>
      <c r="L582" s="32">
        <f>IF($A582="","",C582*SUMIFS(Settings!$B$21:$B$25,Settings!$A$21:$A$25,SUMPRODUCT(MAX((Settings!$A$21:$A$25&lt;=$A582)*Settings!$A$21:$A$25)))+D582*SUMIFS(Settings!$C$21:$C$25,Settings!$A$21:$A$25,SUMPRODUCT(MAX((Settings!$A$21:$A$25&lt;=$A582)*Settings!$A$21:$A$25))))</f>
      </c>
      <c r="M582" s="32">
        <f>IF($A582="","",L582*IFERROR(INDEX(Settings!$B$30:$B$36,MATCH($B582,Settings!$A$30:$A$36,0)),0))</f>
      </c>
      <c r="N582" s="32">
        <f t="shared" ref="N582:N645" si="46">IF(OR($A582="",F582="",G582=""),"",(F582-G582)-(K582+E582))</f>
      </c>
      <c r="O582" s="33">
        <f t="shared" ref="O582:O645" si="47">IF(N582="","",IF(N582=0,"OK","CHECK"))</f>
      </c>
      <c r="P582" s="32">
        <f t="shared" ref="P582:P645" si="48">IF(OR($A582="",AND(H582="",I582="")),"",H582+I582-L582)</f>
      </c>
      <c r="Q582" s="33">
        <f t="shared" ref="Q582:Q645" si="49">IF(P582="","",IF(P582=0,"OK","CHECK"))</f>
      </c>
    </row>
    <row r="583" spans="1:17" x14ac:dyDescent="0.25">
      <c r="A583" s="22"/>
      <c r="B583" s="5"/>
      <c r="C583" s="5"/>
      <c r="D583" s="5"/>
      <c r="E583" s="5"/>
      <c r="F583" s="5"/>
      <c r="G583" s="5"/>
      <c r="H583" s="23"/>
      <c r="I583" s="23"/>
      <c r="J583" s="5"/>
      <c r="K583" s="31">
        <f t="shared" si="45"/>
      </c>
      <c r="L583" s="32">
        <f>IF($A583="","",C583*SUMIFS(Settings!$B$21:$B$25,Settings!$A$21:$A$25,SUMPRODUCT(MAX((Settings!$A$21:$A$25&lt;=$A583)*Settings!$A$21:$A$25)))+D583*SUMIFS(Settings!$C$21:$C$25,Settings!$A$21:$A$25,SUMPRODUCT(MAX((Settings!$A$21:$A$25&lt;=$A583)*Settings!$A$21:$A$25))))</f>
      </c>
      <c r="M583" s="32">
        <f>IF($A583="","",L583*IFERROR(INDEX(Settings!$B$30:$B$36,MATCH($B583,Settings!$A$30:$A$36,0)),0))</f>
      </c>
      <c r="N583" s="32">
        <f t="shared" si="46"/>
      </c>
      <c r="O583" s="33">
        <f t="shared" si="47"/>
      </c>
      <c r="P583" s="32">
        <f t="shared" si="48"/>
      </c>
      <c r="Q583" s="33">
        <f t="shared" si="49"/>
      </c>
    </row>
    <row r="584" spans="1:17" x14ac:dyDescent="0.25">
      <c r="A584" s="22"/>
      <c r="B584" s="5"/>
      <c r="C584" s="5"/>
      <c r="D584" s="5"/>
      <c r="E584" s="5"/>
      <c r="F584" s="5"/>
      <c r="G584" s="5"/>
      <c r="H584" s="23"/>
      <c r="I584" s="23"/>
      <c r="J584" s="5"/>
      <c r="K584" s="31">
        <f t="shared" si="45"/>
      </c>
      <c r="L584" s="32">
        <f>IF($A584="","",C584*SUMIFS(Settings!$B$21:$B$25,Settings!$A$21:$A$25,SUMPRODUCT(MAX((Settings!$A$21:$A$25&lt;=$A584)*Settings!$A$21:$A$25)))+D584*SUMIFS(Settings!$C$21:$C$25,Settings!$A$21:$A$25,SUMPRODUCT(MAX((Settings!$A$21:$A$25&lt;=$A584)*Settings!$A$21:$A$25))))</f>
      </c>
      <c r="M584" s="32">
        <f>IF($A584="","",L584*IFERROR(INDEX(Settings!$B$30:$B$36,MATCH($B584,Settings!$A$30:$A$36,0)),0))</f>
      </c>
      <c r="N584" s="32">
        <f t="shared" si="46"/>
      </c>
      <c r="O584" s="33">
        <f t="shared" si="47"/>
      </c>
      <c r="P584" s="32">
        <f t="shared" si="48"/>
      </c>
      <c r="Q584" s="33">
        <f t="shared" si="49"/>
      </c>
    </row>
    <row r="585" spans="1:17" x14ac:dyDescent="0.25">
      <c r="A585" s="22"/>
      <c r="B585" s="5"/>
      <c r="C585" s="5"/>
      <c r="D585" s="5"/>
      <c r="E585" s="5"/>
      <c r="F585" s="5"/>
      <c r="G585" s="5"/>
      <c r="H585" s="23"/>
      <c r="I585" s="23"/>
      <c r="J585" s="5"/>
      <c r="K585" s="31">
        <f t="shared" si="45"/>
      </c>
      <c r="L585" s="32">
        <f>IF($A585="","",C585*SUMIFS(Settings!$B$21:$B$25,Settings!$A$21:$A$25,SUMPRODUCT(MAX((Settings!$A$21:$A$25&lt;=$A585)*Settings!$A$21:$A$25)))+D585*SUMIFS(Settings!$C$21:$C$25,Settings!$A$21:$A$25,SUMPRODUCT(MAX((Settings!$A$21:$A$25&lt;=$A585)*Settings!$A$21:$A$25))))</f>
      </c>
      <c r="M585" s="32">
        <f>IF($A585="","",L585*IFERROR(INDEX(Settings!$B$30:$B$36,MATCH($B585,Settings!$A$30:$A$36,0)),0))</f>
      </c>
      <c r="N585" s="32">
        <f t="shared" si="46"/>
      </c>
      <c r="O585" s="33">
        <f t="shared" si="47"/>
      </c>
      <c r="P585" s="32">
        <f t="shared" si="48"/>
      </c>
      <c r="Q585" s="33">
        <f t="shared" si="49"/>
      </c>
    </row>
    <row r="586" spans="1:17" x14ac:dyDescent="0.25">
      <c r="A586" s="22"/>
      <c r="B586" s="5"/>
      <c r="C586" s="5"/>
      <c r="D586" s="5"/>
      <c r="E586" s="5"/>
      <c r="F586" s="5"/>
      <c r="G586" s="5"/>
      <c r="H586" s="23"/>
      <c r="I586" s="23"/>
      <c r="J586" s="5"/>
      <c r="K586" s="31">
        <f t="shared" si="45"/>
      </c>
      <c r="L586" s="32">
        <f>IF($A586="","",C586*SUMIFS(Settings!$B$21:$B$25,Settings!$A$21:$A$25,SUMPRODUCT(MAX((Settings!$A$21:$A$25&lt;=$A586)*Settings!$A$21:$A$25)))+D586*SUMIFS(Settings!$C$21:$C$25,Settings!$A$21:$A$25,SUMPRODUCT(MAX((Settings!$A$21:$A$25&lt;=$A586)*Settings!$A$21:$A$25))))</f>
      </c>
      <c r="M586" s="32">
        <f>IF($A586="","",L586*IFERROR(INDEX(Settings!$B$30:$B$36,MATCH($B586,Settings!$A$30:$A$36,0)),0))</f>
      </c>
      <c r="N586" s="32">
        <f t="shared" si="46"/>
      </c>
      <c r="O586" s="33">
        <f t="shared" si="47"/>
      </c>
      <c r="P586" s="32">
        <f t="shared" si="48"/>
      </c>
      <c r="Q586" s="33">
        <f t="shared" si="49"/>
      </c>
    </row>
    <row r="587" spans="1:17" x14ac:dyDescent="0.25">
      <c r="A587" s="22"/>
      <c r="B587" s="5"/>
      <c r="C587" s="5"/>
      <c r="D587" s="5"/>
      <c r="E587" s="5"/>
      <c r="F587" s="5"/>
      <c r="G587" s="5"/>
      <c r="H587" s="23"/>
      <c r="I587" s="23"/>
      <c r="J587" s="5"/>
      <c r="K587" s="31">
        <f t="shared" si="45"/>
      </c>
      <c r="L587" s="32">
        <f>IF($A587="","",C587*SUMIFS(Settings!$B$21:$B$25,Settings!$A$21:$A$25,SUMPRODUCT(MAX((Settings!$A$21:$A$25&lt;=$A587)*Settings!$A$21:$A$25)))+D587*SUMIFS(Settings!$C$21:$C$25,Settings!$A$21:$A$25,SUMPRODUCT(MAX((Settings!$A$21:$A$25&lt;=$A587)*Settings!$A$21:$A$25))))</f>
      </c>
      <c r="M587" s="32">
        <f>IF($A587="","",L587*IFERROR(INDEX(Settings!$B$30:$B$36,MATCH($B587,Settings!$A$30:$A$36,0)),0))</f>
      </c>
      <c r="N587" s="32">
        <f t="shared" si="46"/>
      </c>
      <c r="O587" s="33">
        <f t="shared" si="47"/>
      </c>
      <c r="P587" s="32">
        <f t="shared" si="48"/>
      </c>
      <c r="Q587" s="33">
        <f t="shared" si="49"/>
      </c>
    </row>
    <row r="588" spans="1:17" x14ac:dyDescent="0.25">
      <c r="A588" s="22"/>
      <c r="B588" s="5"/>
      <c r="C588" s="5"/>
      <c r="D588" s="5"/>
      <c r="E588" s="5"/>
      <c r="F588" s="5"/>
      <c r="G588" s="5"/>
      <c r="H588" s="23"/>
      <c r="I588" s="23"/>
      <c r="J588" s="5"/>
      <c r="K588" s="31">
        <f t="shared" si="45"/>
      </c>
      <c r="L588" s="32">
        <f>IF($A588="","",C588*SUMIFS(Settings!$B$21:$B$25,Settings!$A$21:$A$25,SUMPRODUCT(MAX((Settings!$A$21:$A$25&lt;=$A588)*Settings!$A$21:$A$25)))+D588*SUMIFS(Settings!$C$21:$C$25,Settings!$A$21:$A$25,SUMPRODUCT(MAX((Settings!$A$21:$A$25&lt;=$A588)*Settings!$A$21:$A$25))))</f>
      </c>
      <c r="M588" s="32">
        <f>IF($A588="","",L588*IFERROR(INDEX(Settings!$B$30:$B$36,MATCH($B588,Settings!$A$30:$A$36,0)),0))</f>
      </c>
      <c r="N588" s="32">
        <f t="shared" si="46"/>
      </c>
      <c r="O588" s="33">
        <f t="shared" si="47"/>
      </c>
      <c r="P588" s="32">
        <f t="shared" si="48"/>
      </c>
      <c r="Q588" s="33">
        <f t="shared" si="49"/>
      </c>
    </row>
    <row r="589" spans="1:17" x14ac:dyDescent="0.25">
      <c r="A589" s="22"/>
      <c r="B589" s="5"/>
      <c r="C589" s="5"/>
      <c r="D589" s="5"/>
      <c r="E589" s="5"/>
      <c r="F589" s="5"/>
      <c r="G589" s="5"/>
      <c r="H589" s="23"/>
      <c r="I589" s="23"/>
      <c r="J589" s="5"/>
      <c r="K589" s="31">
        <f t="shared" si="45"/>
      </c>
      <c r="L589" s="32">
        <f>IF($A589="","",C589*SUMIFS(Settings!$B$21:$B$25,Settings!$A$21:$A$25,SUMPRODUCT(MAX((Settings!$A$21:$A$25&lt;=$A589)*Settings!$A$21:$A$25)))+D589*SUMIFS(Settings!$C$21:$C$25,Settings!$A$21:$A$25,SUMPRODUCT(MAX((Settings!$A$21:$A$25&lt;=$A589)*Settings!$A$21:$A$25))))</f>
      </c>
      <c r="M589" s="32">
        <f>IF($A589="","",L589*IFERROR(INDEX(Settings!$B$30:$B$36,MATCH($B589,Settings!$A$30:$A$36,0)),0))</f>
      </c>
      <c r="N589" s="32">
        <f t="shared" si="46"/>
      </c>
      <c r="O589" s="33">
        <f t="shared" si="47"/>
      </c>
      <c r="P589" s="32">
        <f t="shared" si="48"/>
      </c>
      <c r="Q589" s="33">
        <f t="shared" si="49"/>
      </c>
    </row>
    <row r="590" spans="1:17" x14ac:dyDescent="0.25">
      <c r="A590" s="22"/>
      <c r="B590" s="5"/>
      <c r="C590" s="5"/>
      <c r="D590" s="5"/>
      <c r="E590" s="5"/>
      <c r="F590" s="5"/>
      <c r="G590" s="5"/>
      <c r="H590" s="23"/>
      <c r="I590" s="23"/>
      <c r="J590" s="5"/>
      <c r="K590" s="31">
        <f t="shared" si="45"/>
      </c>
      <c r="L590" s="32">
        <f>IF($A590="","",C590*SUMIFS(Settings!$B$21:$B$25,Settings!$A$21:$A$25,SUMPRODUCT(MAX((Settings!$A$21:$A$25&lt;=$A590)*Settings!$A$21:$A$25)))+D590*SUMIFS(Settings!$C$21:$C$25,Settings!$A$21:$A$25,SUMPRODUCT(MAX((Settings!$A$21:$A$25&lt;=$A590)*Settings!$A$21:$A$25))))</f>
      </c>
      <c r="M590" s="32">
        <f>IF($A590="","",L590*IFERROR(INDEX(Settings!$B$30:$B$36,MATCH($B590,Settings!$A$30:$A$36,0)),0))</f>
      </c>
      <c r="N590" s="32">
        <f t="shared" si="46"/>
      </c>
      <c r="O590" s="33">
        <f t="shared" si="47"/>
      </c>
      <c r="P590" s="32">
        <f t="shared" si="48"/>
      </c>
      <c r="Q590" s="33">
        <f t="shared" si="49"/>
      </c>
    </row>
    <row r="591" spans="1:17" x14ac:dyDescent="0.25">
      <c r="A591" s="22"/>
      <c r="B591" s="5"/>
      <c r="C591" s="5"/>
      <c r="D591" s="5"/>
      <c r="E591" s="5"/>
      <c r="F591" s="5"/>
      <c r="G591" s="5"/>
      <c r="H591" s="23"/>
      <c r="I591" s="23"/>
      <c r="J591" s="5"/>
      <c r="K591" s="31">
        <f t="shared" si="45"/>
      </c>
      <c r="L591" s="32">
        <f>IF($A591="","",C591*SUMIFS(Settings!$B$21:$B$25,Settings!$A$21:$A$25,SUMPRODUCT(MAX((Settings!$A$21:$A$25&lt;=$A591)*Settings!$A$21:$A$25)))+D591*SUMIFS(Settings!$C$21:$C$25,Settings!$A$21:$A$25,SUMPRODUCT(MAX((Settings!$A$21:$A$25&lt;=$A591)*Settings!$A$21:$A$25))))</f>
      </c>
      <c r="M591" s="32">
        <f>IF($A591="","",L591*IFERROR(INDEX(Settings!$B$30:$B$36,MATCH($B591,Settings!$A$30:$A$36,0)),0))</f>
      </c>
      <c r="N591" s="32">
        <f t="shared" si="46"/>
      </c>
      <c r="O591" s="33">
        <f t="shared" si="47"/>
      </c>
      <c r="P591" s="32">
        <f t="shared" si="48"/>
      </c>
      <c r="Q591" s="33">
        <f t="shared" si="49"/>
      </c>
    </row>
    <row r="592" spans="1:17" x14ac:dyDescent="0.25">
      <c r="A592" s="22"/>
      <c r="B592" s="5"/>
      <c r="C592" s="5"/>
      <c r="D592" s="5"/>
      <c r="E592" s="5"/>
      <c r="F592" s="5"/>
      <c r="G592" s="5"/>
      <c r="H592" s="23"/>
      <c r="I592" s="23"/>
      <c r="J592" s="5"/>
      <c r="K592" s="31">
        <f t="shared" si="45"/>
      </c>
      <c r="L592" s="32">
        <f>IF($A592="","",C592*SUMIFS(Settings!$B$21:$B$25,Settings!$A$21:$A$25,SUMPRODUCT(MAX((Settings!$A$21:$A$25&lt;=$A592)*Settings!$A$21:$A$25)))+D592*SUMIFS(Settings!$C$21:$C$25,Settings!$A$21:$A$25,SUMPRODUCT(MAX((Settings!$A$21:$A$25&lt;=$A592)*Settings!$A$21:$A$25))))</f>
      </c>
      <c r="M592" s="32">
        <f>IF($A592="","",L592*IFERROR(INDEX(Settings!$B$30:$B$36,MATCH($B592,Settings!$A$30:$A$36,0)),0))</f>
      </c>
      <c r="N592" s="32">
        <f t="shared" si="46"/>
      </c>
      <c r="O592" s="33">
        <f t="shared" si="47"/>
      </c>
      <c r="P592" s="32">
        <f t="shared" si="48"/>
      </c>
      <c r="Q592" s="33">
        <f t="shared" si="49"/>
      </c>
    </row>
    <row r="593" spans="1:17" x14ac:dyDescent="0.25">
      <c r="A593" s="22"/>
      <c r="B593" s="5"/>
      <c r="C593" s="5"/>
      <c r="D593" s="5"/>
      <c r="E593" s="5"/>
      <c r="F593" s="5"/>
      <c r="G593" s="5"/>
      <c r="H593" s="23"/>
      <c r="I593" s="23"/>
      <c r="J593" s="5"/>
      <c r="K593" s="31">
        <f t="shared" si="45"/>
      </c>
      <c r="L593" s="32">
        <f>IF($A593="","",C593*SUMIFS(Settings!$B$21:$B$25,Settings!$A$21:$A$25,SUMPRODUCT(MAX((Settings!$A$21:$A$25&lt;=$A593)*Settings!$A$21:$A$25)))+D593*SUMIFS(Settings!$C$21:$C$25,Settings!$A$21:$A$25,SUMPRODUCT(MAX((Settings!$A$21:$A$25&lt;=$A593)*Settings!$A$21:$A$25))))</f>
      </c>
      <c r="M593" s="32">
        <f>IF($A593="","",L593*IFERROR(INDEX(Settings!$B$30:$B$36,MATCH($B593,Settings!$A$30:$A$36,0)),0))</f>
      </c>
      <c r="N593" s="32">
        <f t="shared" si="46"/>
      </c>
      <c r="O593" s="33">
        <f t="shared" si="47"/>
      </c>
      <c r="P593" s="32">
        <f t="shared" si="48"/>
      </c>
      <c r="Q593" s="33">
        <f t="shared" si="49"/>
      </c>
    </row>
    <row r="594" spans="1:17" x14ac:dyDescent="0.25">
      <c r="A594" s="22"/>
      <c r="B594" s="5"/>
      <c r="C594" s="5"/>
      <c r="D594" s="5"/>
      <c r="E594" s="5"/>
      <c r="F594" s="5"/>
      <c r="G594" s="5"/>
      <c r="H594" s="23"/>
      <c r="I594" s="23"/>
      <c r="J594" s="5"/>
      <c r="K594" s="31">
        <f t="shared" si="45"/>
      </c>
      <c r="L594" s="32">
        <f>IF($A594="","",C594*SUMIFS(Settings!$B$21:$B$25,Settings!$A$21:$A$25,SUMPRODUCT(MAX((Settings!$A$21:$A$25&lt;=$A594)*Settings!$A$21:$A$25)))+D594*SUMIFS(Settings!$C$21:$C$25,Settings!$A$21:$A$25,SUMPRODUCT(MAX((Settings!$A$21:$A$25&lt;=$A594)*Settings!$A$21:$A$25))))</f>
      </c>
      <c r="M594" s="32">
        <f>IF($A594="","",L594*IFERROR(INDEX(Settings!$B$30:$B$36,MATCH($B594,Settings!$A$30:$A$36,0)),0))</f>
      </c>
      <c r="N594" s="32">
        <f t="shared" si="46"/>
      </c>
      <c r="O594" s="33">
        <f t="shared" si="47"/>
      </c>
      <c r="P594" s="32">
        <f t="shared" si="48"/>
      </c>
      <c r="Q594" s="33">
        <f t="shared" si="49"/>
      </c>
    </row>
    <row r="595" spans="1:17" x14ac:dyDescent="0.25">
      <c r="A595" s="22"/>
      <c r="B595" s="5"/>
      <c r="C595" s="5"/>
      <c r="D595" s="5"/>
      <c r="E595" s="5"/>
      <c r="F595" s="5"/>
      <c r="G595" s="5"/>
      <c r="H595" s="23"/>
      <c r="I595" s="23"/>
      <c r="J595" s="5"/>
      <c r="K595" s="31">
        <f t="shared" si="45"/>
      </c>
      <c r="L595" s="32">
        <f>IF($A595="","",C595*SUMIFS(Settings!$B$21:$B$25,Settings!$A$21:$A$25,SUMPRODUCT(MAX((Settings!$A$21:$A$25&lt;=$A595)*Settings!$A$21:$A$25)))+D595*SUMIFS(Settings!$C$21:$C$25,Settings!$A$21:$A$25,SUMPRODUCT(MAX((Settings!$A$21:$A$25&lt;=$A595)*Settings!$A$21:$A$25))))</f>
      </c>
      <c r="M595" s="32">
        <f>IF($A595="","",L595*IFERROR(INDEX(Settings!$B$30:$B$36,MATCH($B595,Settings!$A$30:$A$36,0)),0))</f>
      </c>
      <c r="N595" s="32">
        <f t="shared" si="46"/>
      </c>
      <c r="O595" s="33">
        <f t="shared" si="47"/>
      </c>
      <c r="P595" s="32">
        <f t="shared" si="48"/>
      </c>
      <c r="Q595" s="33">
        <f t="shared" si="49"/>
      </c>
    </row>
    <row r="596" spans="1:17" x14ac:dyDescent="0.25">
      <c r="A596" s="22"/>
      <c r="B596" s="5"/>
      <c r="C596" s="5"/>
      <c r="D596" s="5"/>
      <c r="E596" s="5"/>
      <c r="F596" s="5"/>
      <c r="G596" s="5"/>
      <c r="H596" s="23"/>
      <c r="I596" s="23"/>
      <c r="J596" s="5"/>
      <c r="K596" s="31">
        <f t="shared" si="45"/>
      </c>
      <c r="L596" s="32">
        <f>IF($A596="","",C596*SUMIFS(Settings!$B$21:$B$25,Settings!$A$21:$A$25,SUMPRODUCT(MAX((Settings!$A$21:$A$25&lt;=$A596)*Settings!$A$21:$A$25)))+D596*SUMIFS(Settings!$C$21:$C$25,Settings!$A$21:$A$25,SUMPRODUCT(MAX((Settings!$A$21:$A$25&lt;=$A596)*Settings!$A$21:$A$25))))</f>
      </c>
      <c r="M596" s="32">
        <f>IF($A596="","",L596*IFERROR(INDEX(Settings!$B$30:$B$36,MATCH($B596,Settings!$A$30:$A$36,0)),0))</f>
      </c>
      <c r="N596" s="32">
        <f t="shared" si="46"/>
      </c>
      <c r="O596" s="33">
        <f t="shared" si="47"/>
      </c>
      <c r="P596" s="32">
        <f t="shared" si="48"/>
      </c>
      <c r="Q596" s="33">
        <f t="shared" si="49"/>
      </c>
    </row>
    <row r="597" spans="1:17" x14ac:dyDescent="0.25">
      <c r="A597" s="22"/>
      <c r="B597" s="5"/>
      <c r="C597" s="5"/>
      <c r="D597" s="5"/>
      <c r="E597" s="5"/>
      <c r="F597" s="5"/>
      <c r="G597" s="5"/>
      <c r="H597" s="23"/>
      <c r="I597" s="23"/>
      <c r="J597" s="5"/>
      <c r="K597" s="31">
        <f t="shared" si="45"/>
      </c>
      <c r="L597" s="32">
        <f>IF($A597="","",C597*SUMIFS(Settings!$B$21:$B$25,Settings!$A$21:$A$25,SUMPRODUCT(MAX((Settings!$A$21:$A$25&lt;=$A597)*Settings!$A$21:$A$25)))+D597*SUMIFS(Settings!$C$21:$C$25,Settings!$A$21:$A$25,SUMPRODUCT(MAX((Settings!$A$21:$A$25&lt;=$A597)*Settings!$A$21:$A$25))))</f>
      </c>
      <c r="M597" s="32">
        <f>IF($A597="","",L597*IFERROR(INDEX(Settings!$B$30:$B$36,MATCH($B597,Settings!$A$30:$A$36,0)),0))</f>
      </c>
      <c r="N597" s="32">
        <f t="shared" si="46"/>
      </c>
      <c r="O597" s="33">
        <f t="shared" si="47"/>
      </c>
      <c r="P597" s="32">
        <f t="shared" si="48"/>
      </c>
      <c r="Q597" s="33">
        <f t="shared" si="49"/>
      </c>
    </row>
    <row r="598" spans="1:17" x14ac:dyDescent="0.25">
      <c r="A598" s="22"/>
      <c r="B598" s="5"/>
      <c r="C598" s="5"/>
      <c r="D598" s="5"/>
      <c r="E598" s="5"/>
      <c r="F598" s="5"/>
      <c r="G598" s="5"/>
      <c r="H598" s="23"/>
      <c r="I598" s="23"/>
      <c r="J598" s="5"/>
      <c r="K598" s="31">
        <f t="shared" si="45"/>
      </c>
      <c r="L598" s="32">
        <f>IF($A598="","",C598*SUMIFS(Settings!$B$21:$B$25,Settings!$A$21:$A$25,SUMPRODUCT(MAX((Settings!$A$21:$A$25&lt;=$A598)*Settings!$A$21:$A$25)))+D598*SUMIFS(Settings!$C$21:$C$25,Settings!$A$21:$A$25,SUMPRODUCT(MAX((Settings!$A$21:$A$25&lt;=$A598)*Settings!$A$21:$A$25))))</f>
      </c>
      <c r="M598" s="32">
        <f>IF($A598="","",L598*IFERROR(INDEX(Settings!$B$30:$B$36,MATCH($B598,Settings!$A$30:$A$36,0)),0))</f>
      </c>
      <c r="N598" s="32">
        <f t="shared" si="46"/>
      </c>
      <c r="O598" s="33">
        <f t="shared" si="47"/>
      </c>
      <c r="P598" s="32">
        <f t="shared" si="48"/>
      </c>
      <c r="Q598" s="33">
        <f t="shared" si="49"/>
      </c>
    </row>
    <row r="599" spans="1:17" x14ac:dyDescent="0.25">
      <c r="A599" s="22"/>
      <c r="B599" s="5"/>
      <c r="C599" s="5"/>
      <c r="D599" s="5"/>
      <c r="E599" s="5"/>
      <c r="F599" s="5"/>
      <c r="G599" s="5"/>
      <c r="H599" s="23"/>
      <c r="I599" s="23"/>
      <c r="J599" s="5"/>
      <c r="K599" s="31">
        <f t="shared" si="45"/>
      </c>
      <c r="L599" s="32">
        <f>IF($A599="","",C599*SUMIFS(Settings!$B$21:$B$25,Settings!$A$21:$A$25,SUMPRODUCT(MAX((Settings!$A$21:$A$25&lt;=$A599)*Settings!$A$21:$A$25)))+D599*SUMIFS(Settings!$C$21:$C$25,Settings!$A$21:$A$25,SUMPRODUCT(MAX((Settings!$A$21:$A$25&lt;=$A599)*Settings!$A$21:$A$25))))</f>
      </c>
      <c r="M599" s="32">
        <f>IF($A599="","",L599*IFERROR(INDEX(Settings!$B$30:$B$36,MATCH($B599,Settings!$A$30:$A$36,0)),0))</f>
      </c>
      <c r="N599" s="32">
        <f t="shared" si="46"/>
      </c>
      <c r="O599" s="33">
        <f t="shared" si="47"/>
      </c>
      <c r="P599" s="32">
        <f t="shared" si="48"/>
      </c>
      <c r="Q599" s="33">
        <f t="shared" si="49"/>
      </c>
    </row>
    <row r="600" spans="1:17" x14ac:dyDescent="0.25">
      <c r="A600" s="22"/>
      <c r="B600" s="5"/>
      <c r="C600" s="5"/>
      <c r="D600" s="5"/>
      <c r="E600" s="5"/>
      <c r="F600" s="5"/>
      <c r="G600" s="5"/>
      <c r="H600" s="23"/>
      <c r="I600" s="23"/>
      <c r="J600" s="5"/>
      <c r="K600" s="31">
        <f t="shared" si="45"/>
      </c>
      <c r="L600" s="32">
        <f>IF($A600="","",C600*SUMIFS(Settings!$B$21:$B$25,Settings!$A$21:$A$25,SUMPRODUCT(MAX((Settings!$A$21:$A$25&lt;=$A600)*Settings!$A$21:$A$25)))+D600*SUMIFS(Settings!$C$21:$C$25,Settings!$A$21:$A$25,SUMPRODUCT(MAX((Settings!$A$21:$A$25&lt;=$A600)*Settings!$A$21:$A$25))))</f>
      </c>
      <c r="M600" s="32">
        <f>IF($A600="","",L600*IFERROR(INDEX(Settings!$B$30:$B$36,MATCH($B600,Settings!$A$30:$A$36,0)),0))</f>
      </c>
      <c r="N600" s="32">
        <f t="shared" si="46"/>
      </c>
      <c r="O600" s="33">
        <f t="shared" si="47"/>
      </c>
      <c r="P600" s="32">
        <f t="shared" si="48"/>
      </c>
      <c r="Q600" s="33">
        <f t="shared" si="49"/>
      </c>
    </row>
    <row r="601" spans="1:17" x14ac:dyDescent="0.25">
      <c r="A601" s="22"/>
      <c r="B601" s="5"/>
      <c r="C601" s="5"/>
      <c r="D601" s="5"/>
      <c r="E601" s="5"/>
      <c r="F601" s="5"/>
      <c r="G601" s="5"/>
      <c r="H601" s="23"/>
      <c r="I601" s="23"/>
      <c r="J601" s="5"/>
      <c r="K601" s="31">
        <f t="shared" si="45"/>
      </c>
      <c r="L601" s="32">
        <f>IF($A601="","",C601*SUMIFS(Settings!$B$21:$B$25,Settings!$A$21:$A$25,SUMPRODUCT(MAX((Settings!$A$21:$A$25&lt;=$A601)*Settings!$A$21:$A$25)))+D601*SUMIFS(Settings!$C$21:$C$25,Settings!$A$21:$A$25,SUMPRODUCT(MAX((Settings!$A$21:$A$25&lt;=$A601)*Settings!$A$21:$A$25))))</f>
      </c>
      <c r="M601" s="32">
        <f>IF($A601="","",L601*IFERROR(INDEX(Settings!$B$30:$B$36,MATCH($B601,Settings!$A$30:$A$36,0)),0))</f>
      </c>
      <c r="N601" s="32">
        <f t="shared" si="46"/>
      </c>
      <c r="O601" s="33">
        <f t="shared" si="47"/>
      </c>
      <c r="P601" s="32">
        <f t="shared" si="48"/>
      </c>
      <c r="Q601" s="33">
        <f t="shared" si="49"/>
      </c>
    </row>
    <row r="602" spans="1:17" x14ac:dyDescent="0.25">
      <c r="A602" s="22"/>
      <c r="B602" s="5"/>
      <c r="C602" s="5"/>
      <c r="D602" s="5"/>
      <c r="E602" s="5"/>
      <c r="F602" s="5"/>
      <c r="G602" s="5"/>
      <c r="H602" s="23"/>
      <c r="I602" s="23"/>
      <c r="J602" s="5"/>
      <c r="K602" s="31">
        <f t="shared" si="45"/>
      </c>
      <c r="L602" s="32">
        <f>IF($A602="","",C602*SUMIFS(Settings!$B$21:$B$25,Settings!$A$21:$A$25,SUMPRODUCT(MAX((Settings!$A$21:$A$25&lt;=$A602)*Settings!$A$21:$A$25)))+D602*SUMIFS(Settings!$C$21:$C$25,Settings!$A$21:$A$25,SUMPRODUCT(MAX((Settings!$A$21:$A$25&lt;=$A602)*Settings!$A$21:$A$25))))</f>
      </c>
      <c r="M602" s="32">
        <f>IF($A602="","",L602*IFERROR(INDEX(Settings!$B$30:$B$36,MATCH($B602,Settings!$A$30:$A$36,0)),0))</f>
      </c>
      <c r="N602" s="32">
        <f t="shared" si="46"/>
      </c>
      <c r="O602" s="33">
        <f t="shared" si="47"/>
      </c>
      <c r="P602" s="32">
        <f t="shared" si="48"/>
      </c>
      <c r="Q602" s="33">
        <f t="shared" si="49"/>
      </c>
    </row>
    <row r="603" spans="1:17" x14ac:dyDescent="0.25">
      <c r="A603" s="22"/>
      <c r="B603" s="5"/>
      <c r="C603" s="5"/>
      <c r="D603" s="5"/>
      <c r="E603" s="5"/>
      <c r="F603" s="5"/>
      <c r="G603" s="5"/>
      <c r="H603" s="23"/>
      <c r="I603" s="23"/>
      <c r="J603" s="5"/>
      <c r="K603" s="31">
        <f t="shared" si="45"/>
      </c>
      <c r="L603" s="32">
        <f>IF($A603="","",C603*SUMIFS(Settings!$B$21:$B$25,Settings!$A$21:$A$25,SUMPRODUCT(MAX((Settings!$A$21:$A$25&lt;=$A603)*Settings!$A$21:$A$25)))+D603*SUMIFS(Settings!$C$21:$C$25,Settings!$A$21:$A$25,SUMPRODUCT(MAX((Settings!$A$21:$A$25&lt;=$A603)*Settings!$A$21:$A$25))))</f>
      </c>
      <c r="M603" s="32">
        <f>IF($A603="","",L603*IFERROR(INDEX(Settings!$B$30:$B$36,MATCH($B603,Settings!$A$30:$A$36,0)),0))</f>
      </c>
      <c r="N603" s="32">
        <f t="shared" si="46"/>
      </c>
      <c r="O603" s="33">
        <f t="shared" si="47"/>
      </c>
      <c r="P603" s="32">
        <f t="shared" si="48"/>
      </c>
      <c r="Q603" s="33">
        <f t="shared" si="49"/>
      </c>
    </row>
    <row r="604" spans="1:17" x14ac:dyDescent="0.25">
      <c r="A604" s="22"/>
      <c r="B604" s="5"/>
      <c r="C604" s="5"/>
      <c r="D604" s="5"/>
      <c r="E604" s="5"/>
      <c r="F604" s="5"/>
      <c r="G604" s="5"/>
      <c r="H604" s="23"/>
      <c r="I604" s="23"/>
      <c r="J604" s="5"/>
      <c r="K604" s="31">
        <f t="shared" si="45"/>
      </c>
      <c r="L604" s="32">
        <f>IF($A604="","",C604*SUMIFS(Settings!$B$21:$B$25,Settings!$A$21:$A$25,SUMPRODUCT(MAX((Settings!$A$21:$A$25&lt;=$A604)*Settings!$A$21:$A$25)))+D604*SUMIFS(Settings!$C$21:$C$25,Settings!$A$21:$A$25,SUMPRODUCT(MAX((Settings!$A$21:$A$25&lt;=$A604)*Settings!$A$21:$A$25))))</f>
      </c>
      <c r="M604" s="32">
        <f>IF($A604="","",L604*IFERROR(INDEX(Settings!$B$30:$B$36,MATCH($B604,Settings!$A$30:$A$36,0)),0))</f>
      </c>
      <c r="N604" s="32">
        <f t="shared" si="46"/>
      </c>
      <c r="O604" s="33">
        <f t="shared" si="47"/>
      </c>
      <c r="P604" s="32">
        <f t="shared" si="48"/>
      </c>
      <c r="Q604" s="33">
        <f t="shared" si="49"/>
      </c>
    </row>
    <row r="605" spans="1:17" x14ac:dyDescent="0.25">
      <c r="A605" s="22"/>
      <c r="B605" s="5"/>
      <c r="C605" s="5"/>
      <c r="D605" s="5"/>
      <c r="E605" s="5"/>
      <c r="F605" s="5"/>
      <c r="G605" s="5"/>
      <c r="H605" s="23"/>
      <c r="I605" s="23"/>
      <c r="J605" s="5"/>
      <c r="K605" s="31">
        <f t="shared" si="45"/>
      </c>
      <c r="L605" s="32">
        <f>IF($A605="","",C605*SUMIFS(Settings!$B$21:$B$25,Settings!$A$21:$A$25,SUMPRODUCT(MAX((Settings!$A$21:$A$25&lt;=$A605)*Settings!$A$21:$A$25)))+D605*SUMIFS(Settings!$C$21:$C$25,Settings!$A$21:$A$25,SUMPRODUCT(MAX((Settings!$A$21:$A$25&lt;=$A605)*Settings!$A$21:$A$25))))</f>
      </c>
      <c r="M605" s="32">
        <f>IF($A605="","",L605*IFERROR(INDEX(Settings!$B$30:$B$36,MATCH($B605,Settings!$A$30:$A$36,0)),0))</f>
      </c>
      <c r="N605" s="32">
        <f t="shared" si="46"/>
      </c>
      <c r="O605" s="33">
        <f t="shared" si="47"/>
      </c>
      <c r="P605" s="32">
        <f t="shared" si="48"/>
      </c>
      <c r="Q605" s="33">
        <f t="shared" si="49"/>
      </c>
    </row>
    <row r="606" spans="1:17" x14ac:dyDescent="0.25">
      <c r="A606" s="22"/>
      <c r="B606" s="5"/>
      <c r="C606" s="5"/>
      <c r="D606" s="5"/>
      <c r="E606" s="5"/>
      <c r="F606" s="5"/>
      <c r="G606" s="5"/>
      <c r="H606" s="23"/>
      <c r="I606" s="23"/>
      <c r="J606" s="5"/>
      <c r="K606" s="31">
        <f t="shared" si="45"/>
      </c>
      <c r="L606" s="32">
        <f>IF($A606="","",C606*SUMIFS(Settings!$B$21:$B$25,Settings!$A$21:$A$25,SUMPRODUCT(MAX((Settings!$A$21:$A$25&lt;=$A606)*Settings!$A$21:$A$25)))+D606*SUMIFS(Settings!$C$21:$C$25,Settings!$A$21:$A$25,SUMPRODUCT(MAX((Settings!$A$21:$A$25&lt;=$A606)*Settings!$A$21:$A$25))))</f>
      </c>
      <c r="M606" s="32">
        <f>IF($A606="","",L606*IFERROR(INDEX(Settings!$B$30:$B$36,MATCH($B606,Settings!$A$30:$A$36,0)),0))</f>
      </c>
      <c r="N606" s="32">
        <f t="shared" si="46"/>
      </c>
      <c r="O606" s="33">
        <f t="shared" si="47"/>
      </c>
      <c r="P606" s="32">
        <f t="shared" si="48"/>
      </c>
      <c r="Q606" s="33">
        <f t="shared" si="49"/>
      </c>
    </row>
    <row r="607" spans="1:17" x14ac:dyDescent="0.25">
      <c r="A607" s="22"/>
      <c r="B607" s="5"/>
      <c r="C607" s="5"/>
      <c r="D607" s="5"/>
      <c r="E607" s="5"/>
      <c r="F607" s="5"/>
      <c r="G607" s="5"/>
      <c r="H607" s="23"/>
      <c r="I607" s="23"/>
      <c r="J607" s="5"/>
      <c r="K607" s="31">
        <f t="shared" si="45"/>
      </c>
      <c r="L607" s="32">
        <f>IF($A607="","",C607*SUMIFS(Settings!$B$21:$B$25,Settings!$A$21:$A$25,SUMPRODUCT(MAX((Settings!$A$21:$A$25&lt;=$A607)*Settings!$A$21:$A$25)))+D607*SUMIFS(Settings!$C$21:$C$25,Settings!$A$21:$A$25,SUMPRODUCT(MAX((Settings!$A$21:$A$25&lt;=$A607)*Settings!$A$21:$A$25))))</f>
      </c>
      <c r="M607" s="32">
        <f>IF($A607="","",L607*IFERROR(INDEX(Settings!$B$30:$B$36,MATCH($B607,Settings!$A$30:$A$36,0)),0))</f>
      </c>
      <c r="N607" s="32">
        <f t="shared" si="46"/>
      </c>
      <c r="O607" s="33">
        <f t="shared" si="47"/>
      </c>
      <c r="P607" s="32">
        <f t="shared" si="48"/>
      </c>
      <c r="Q607" s="33">
        <f t="shared" si="49"/>
      </c>
    </row>
    <row r="608" spans="1:17" x14ac:dyDescent="0.25">
      <c r="A608" s="22"/>
      <c r="B608" s="5"/>
      <c r="C608" s="5"/>
      <c r="D608" s="5"/>
      <c r="E608" s="5"/>
      <c r="F608" s="5"/>
      <c r="G608" s="5"/>
      <c r="H608" s="23"/>
      <c r="I608" s="23"/>
      <c r="J608" s="5"/>
      <c r="K608" s="31">
        <f t="shared" si="45"/>
      </c>
      <c r="L608" s="32">
        <f>IF($A608="","",C608*SUMIFS(Settings!$B$21:$B$25,Settings!$A$21:$A$25,SUMPRODUCT(MAX((Settings!$A$21:$A$25&lt;=$A608)*Settings!$A$21:$A$25)))+D608*SUMIFS(Settings!$C$21:$C$25,Settings!$A$21:$A$25,SUMPRODUCT(MAX((Settings!$A$21:$A$25&lt;=$A608)*Settings!$A$21:$A$25))))</f>
      </c>
      <c r="M608" s="32">
        <f>IF($A608="","",L608*IFERROR(INDEX(Settings!$B$30:$B$36,MATCH($B608,Settings!$A$30:$A$36,0)),0))</f>
      </c>
      <c r="N608" s="32">
        <f t="shared" si="46"/>
      </c>
      <c r="O608" s="33">
        <f t="shared" si="47"/>
      </c>
      <c r="P608" s="32">
        <f t="shared" si="48"/>
      </c>
      <c r="Q608" s="33">
        <f t="shared" si="49"/>
      </c>
    </row>
    <row r="609" spans="1:17" x14ac:dyDescent="0.25">
      <c r="A609" s="22"/>
      <c r="B609" s="5"/>
      <c r="C609" s="5"/>
      <c r="D609" s="5"/>
      <c r="E609" s="5"/>
      <c r="F609" s="5"/>
      <c r="G609" s="5"/>
      <c r="H609" s="23"/>
      <c r="I609" s="23"/>
      <c r="J609" s="5"/>
      <c r="K609" s="31">
        <f t="shared" si="45"/>
      </c>
      <c r="L609" s="32">
        <f>IF($A609="","",C609*SUMIFS(Settings!$B$21:$B$25,Settings!$A$21:$A$25,SUMPRODUCT(MAX((Settings!$A$21:$A$25&lt;=$A609)*Settings!$A$21:$A$25)))+D609*SUMIFS(Settings!$C$21:$C$25,Settings!$A$21:$A$25,SUMPRODUCT(MAX((Settings!$A$21:$A$25&lt;=$A609)*Settings!$A$21:$A$25))))</f>
      </c>
      <c r="M609" s="32">
        <f>IF($A609="","",L609*IFERROR(INDEX(Settings!$B$30:$B$36,MATCH($B609,Settings!$A$30:$A$36,0)),0))</f>
      </c>
      <c r="N609" s="32">
        <f t="shared" si="46"/>
      </c>
      <c r="O609" s="33">
        <f t="shared" si="47"/>
      </c>
      <c r="P609" s="32">
        <f t="shared" si="48"/>
      </c>
      <c r="Q609" s="33">
        <f t="shared" si="49"/>
      </c>
    </row>
    <row r="610" spans="1:17" x14ac:dyDescent="0.25">
      <c r="A610" s="22"/>
      <c r="B610" s="5"/>
      <c r="C610" s="5"/>
      <c r="D610" s="5"/>
      <c r="E610" s="5"/>
      <c r="F610" s="5"/>
      <c r="G610" s="5"/>
      <c r="H610" s="23"/>
      <c r="I610" s="23"/>
      <c r="J610" s="5"/>
      <c r="K610" s="31">
        <f t="shared" si="45"/>
      </c>
      <c r="L610" s="32">
        <f>IF($A610="","",C610*SUMIFS(Settings!$B$21:$B$25,Settings!$A$21:$A$25,SUMPRODUCT(MAX((Settings!$A$21:$A$25&lt;=$A610)*Settings!$A$21:$A$25)))+D610*SUMIFS(Settings!$C$21:$C$25,Settings!$A$21:$A$25,SUMPRODUCT(MAX((Settings!$A$21:$A$25&lt;=$A610)*Settings!$A$21:$A$25))))</f>
      </c>
      <c r="M610" s="32">
        <f>IF($A610="","",L610*IFERROR(INDEX(Settings!$B$30:$B$36,MATCH($B610,Settings!$A$30:$A$36,0)),0))</f>
      </c>
      <c r="N610" s="32">
        <f t="shared" si="46"/>
      </c>
      <c r="O610" s="33">
        <f t="shared" si="47"/>
      </c>
      <c r="P610" s="32">
        <f t="shared" si="48"/>
      </c>
      <c r="Q610" s="33">
        <f t="shared" si="49"/>
      </c>
    </row>
    <row r="611" spans="1:17" x14ac:dyDescent="0.25">
      <c r="A611" s="22"/>
      <c r="B611" s="5"/>
      <c r="C611" s="5"/>
      <c r="D611" s="5"/>
      <c r="E611" s="5"/>
      <c r="F611" s="5"/>
      <c r="G611" s="5"/>
      <c r="H611" s="23"/>
      <c r="I611" s="23"/>
      <c r="J611" s="5"/>
      <c r="K611" s="31">
        <f t="shared" si="45"/>
      </c>
      <c r="L611" s="32">
        <f>IF($A611="","",C611*SUMIFS(Settings!$B$21:$B$25,Settings!$A$21:$A$25,SUMPRODUCT(MAX((Settings!$A$21:$A$25&lt;=$A611)*Settings!$A$21:$A$25)))+D611*SUMIFS(Settings!$C$21:$C$25,Settings!$A$21:$A$25,SUMPRODUCT(MAX((Settings!$A$21:$A$25&lt;=$A611)*Settings!$A$21:$A$25))))</f>
      </c>
      <c r="M611" s="32">
        <f>IF($A611="","",L611*IFERROR(INDEX(Settings!$B$30:$B$36,MATCH($B611,Settings!$A$30:$A$36,0)),0))</f>
      </c>
      <c r="N611" s="32">
        <f t="shared" si="46"/>
      </c>
      <c r="O611" s="33">
        <f t="shared" si="47"/>
      </c>
      <c r="P611" s="32">
        <f t="shared" si="48"/>
      </c>
      <c r="Q611" s="33">
        <f t="shared" si="49"/>
      </c>
    </row>
    <row r="612" spans="1:17" x14ac:dyDescent="0.25">
      <c r="A612" s="22"/>
      <c r="B612" s="5"/>
      <c r="C612" s="5"/>
      <c r="D612" s="5"/>
      <c r="E612" s="5"/>
      <c r="F612" s="5"/>
      <c r="G612" s="5"/>
      <c r="H612" s="23"/>
      <c r="I612" s="23"/>
      <c r="J612" s="5"/>
      <c r="K612" s="31">
        <f t="shared" si="45"/>
      </c>
      <c r="L612" s="32">
        <f>IF($A612="","",C612*SUMIFS(Settings!$B$21:$B$25,Settings!$A$21:$A$25,SUMPRODUCT(MAX((Settings!$A$21:$A$25&lt;=$A612)*Settings!$A$21:$A$25)))+D612*SUMIFS(Settings!$C$21:$C$25,Settings!$A$21:$A$25,SUMPRODUCT(MAX((Settings!$A$21:$A$25&lt;=$A612)*Settings!$A$21:$A$25))))</f>
      </c>
      <c r="M612" s="32">
        <f>IF($A612="","",L612*IFERROR(INDEX(Settings!$B$30:$B$36,MATCH($B612,Settings!$A$30:$A$36,0)),0))</f>
      </c>
      <c r="N612" s="32">
        <f t="shared" si="46"/>
      </c>
      <c r="O612" s="33">
        <f t="shared" si="47"/>
      </c>
      <c r="P612" s="32">
        <f t="shared" si="48"/>
      </c>
      <c r="Q612" s="33">
        <f t="shared" si="49"/>
      </c>
    </row>
    <row r="613" spans="1:17" x14ac:dyDescent="0.25">
      <c r="A613" s="22"/>
      <c r="B613" s="5"/>
      <c r="C613" s="5"/>
      <c r="D613" s="5"/>
      <c r="E613" s="5"/>
      <c r="F613" s="5"/>
      <c r="G613" s="5"/>
      <c r="H613" s="23"/>
      <c r="I613" s="23"/>
      <c r="J613" s="5"/>
      <c r="K613" s="31">
        <f t="shared" si="45"/>
      </c>
      <c r="L613" s="32">
        <f>IF($A613="","",C613*SUMIFS(Settings!$B$21:$B$25,Settings!$A$21:$A$25,SUMPRODUCT(MAX((Settings!$A$21:$A$25&lt;=$A613)*Settings!$A$21:$A$25)))+D613*SUMIFS(Settings!$C$21:$C$25,Settings!$A$21:$A$25,SUMPRODUCT(MAX((Settings!$A$21:$A$25&lt;=$A613)*Settings!$A$21:$A$25))))</f>
      </c>
      <c r="M613" s="32">
        <f>IF($A613="","",L613*IFERROR(INDEX(Settings!$B$30:$B$36,MATCH($B613,Settings!$A$30:$A$36,0)),0))</f>
      </c>
      <c r="N613" s="32">
        <f t="shared" si="46"/>
      </c>
      <c r="O613" s="33">
        <f t="shared" si="47"/>
      </c>
      <c r="P613" s="32">
        <f t="shared" si="48"/>
      </c>
      <c r="Q613" s="33">
        <f t="shared" si="49"/>
      </c>
    </row>
    <row r="614" spans="1:17" x14ac:dyDescent="0.25">
      <c r="A614" s="22"/>
      <c r="B614" s="5"/>
      <c r="C614" s="5"/>
      <c r="D614" s="5"/>
      <c r="E614" s="5"/>
      <c r="F614" s="5"/>
      <c r="G614" s="5"/>
      <c r="H614" s="23"/>
      <c r="I614" s="23"/>
      <c r="J614" s="5"/>
      <c r="K614" s="31">
        <f t="shared" si="45"/>
      </c>
      <c r="L614" s="32">
        <f>IF($A614="","",C614*SUMIFS(Settings!$B$21:$B$25,Settings!$A$21:$A$25,SUMPRODUCT(MAX((Settings!$A$21:$A$25&lt;=$A614)*Settings!$A$21:$A$25)))+D614*SUMIFS(Settings!$C$21:$C$25,Settings!$A$21:$A$25,SUMPRODUCT(MAX((Settings!$A$21:$A$25&lt;=$A614)*Settings!$A$21:$A$25))))</f>
      </c>
      <c r="M614" s="32">
        <f>IF($A614="","",L614*IFERROR(INDEX(Settings!$B$30:$B$36,MATCH($B614,Settings!$A$30:$A$36,0)),0))</f>
      </c>
      <c r="N614" s="32">
        <f t="shared" si="46"/>
      </c>
      <c r="O614" s="33">
        <f t="shared" si="47"/>
      </c>
      <c r="P614" s="32">
        <f t="shared" si="48"/>
      </c>
      <c r="Q614" s="33">
        <f t="shared" si="49"/>
      </c>
    </row>
    <row r="615" spans="1:17" x14ac:dyDescent="0.25">
      <c r="A615" s="22"/>
      <c r="B615" s="5"/>
      <c r="C615" s="5"/>
      <c r="D615" s="5"/>
      <c r="E615" s="5"/>
      <c r="F615" s="5"/>
      <c r="G615" s="5"/>
      <c r="H615" s="23"/>
      <c r="I615" s="23"/>
      <c r="J615" s="5"/>
      <c r="K615" s="31">
        <f t="shared" si="45"/>
      </c>
      <c r="L615" s="32">
        <f>IF($A615="","",C615*SUMIFS(Settings!$B$21:$B$25,Settings!$A$21:$A$25,SUMPRODUCT(MAX((Settings!$A$21:$A$25&lt;=$A615)*Settings!$A$21:$A$25)))+D615*SUMIFS(Settings!$C$21:$C$25,Settings!$A$21:$A$25,SUMPRODUCT(MAX((Settings!$A$21:$A$25&lt;=$A615)*Settings!$A$21:$A$25))))</f>
      </c>
      <c r="M615" s="32">
        <f>IF($A615="","",L615*IFERROR(INDEX(Settings!$B$30:$B$36,MATCH($B615,Settings!$A$30:$A$36,0)),0))</f>
      </c>
      <c r="N615" s="32">
        <f t="shared" si="46"/>
      </c>
      <c r="O615" s="33">
        <f t="shared" si="47"/>
      </c>
      <c r="P615" s="32">
        <f t="shared" si="48"/>
      </c>
      <c r="Q615" s="33">
        <f t="shared" si="49"/>
      </c>
    </row>
    <row r="616" spans="1:17" x14ac:dyDescent="0.25">
      <c r="A616" s="22"/>
      <c r="B616" s="5"/>
      <c r="C616" s="5"/>
      <c r="D616" s="5"/>
      <c r="E616" s="5"/>
      <c r="F616" s="5"/>
      <c r="G616" s="5"/>
      <c r="H616" s="23"/>
      <c r="I616" s="23"/>
      <c r="J616" s="5"/>
      <c r="K616" s="31">
        <f t="shared" si="45"/>
      </c>
      <c r="L616" s="32">
        <f>IF($A616="","",C616*SUMIFS(Settings!$B$21:$B$25,Settings!$A$21:$A$25,SUMPRODUCT(MAX((Settings!$A$21:$A$25&lt;=$A616)*Settings!$A$21:$A$25)))+D616*SUMIFS(Settings!$C$21:$C$25,Settings!$A$21:$A$25,SUMPRODUCT(MAX((Settings!$A$21:$A$25&lt;=$A616)*Settings!$A$21:$A$25))))</f>
      </c>
      <c r="M616" s="32">
        <f>IF($A616="","",L616*IFERROR(INDEX(Settings!$B$30:$B$36,MATCH($B616,Settings!$A$30:$A$36,0)),0))</f>
      </c>
      <c r="N616" s="32">
        <f t="shared" si="46"/>
      </c>
      <c r="O616" s="33">
        <f t="shared" si="47"/>
      </c>
      <c r="P616" s="32">
        <f t="shared" si="48"/>
      </c>
      <c r="Q616" s="33">
        <f t="shared" si="49"/>
      </c>
    </row>
    <row r="617" spans="1:17" x14ac:dyDescent="0.25">
      <c r="A617" s="22"/>
      <c r="B617" s="5"/>
      <c r="C617" s="5"/>
      <c r="D617" s="5"/>
      <c r="E617" s="5"/>
      <c r="F617" s="5"/>
      <c r="G617" s="5"/>
      <c r="H617" s="23"/>
      <c r="I617" s="23"/>
      <c r="J617" s="5"/>
      <c r="K617" s="31">
        <f t="shared" si="45"/>
      </c>
      <c r="L617" s="32">
        <f>IF($A617="","",C617*SUMIFS(Settings!$B$21:$B$25,Settings!$A$21:$A$25,SUMPRODUCT(MAX((Settings!$A$21:$A$25&lt;=$A617)*Settings!$A$21:$A$25)))+D617*SUMIFS(Settings!$C$21:$C$25,Settings!$A$21:$A$25,SUMPRODUCT(MAX((Settings!$A$21:$A$25&lt;=$A617)*Settings!$A$21:$A$25))))</f>
      </c>
      <c r="M617" s="32">
        <f>IF($A617="","",L617*IFERROR(INDEX(Settings!$B$30:$B$36,MATCH($B617,Settings!$A$30:$A$36,0)),0))</f>
      </c>
      <c r="N617" s="32">
        <f t="shared" si="46"/>
      </c>
      <c r="O617" s="33">
        <f t="shared" si="47"/>
      </c>
      <c r="P617" s="32">
        <f t="shared" si="48"/>
      </c>
      <c r="Q617" s="33">
        <f t="shared" si="49"/>
      </c>
    </row>
    <row r="618" spans="1:17" x14ac:dyDescent="0.25">
      <c r="A618" s="22"/>
      <c r="B618" s="5"/>
      <c r="C618" s="5"/>
      <c r="D618" s="5"/>
      <c r="E618" s="5"/>
      <c r="F618" s="5"/>
      <c r="G618" s="5"/>
      <c r="H618" s="23"/>
      <c r="I618" s="23"/>
      <c r="J618" s="5"/>
      <c r="K618" s="31">
        <f t="shared" si="45"/>
      </c>
      <c r="L618" s="32">
        <f>IF($A618="","",C618*SUMIFS(Settings!$B$21:$B$25,Settings!$A$21:$A$25,SUMPRODUCT(MAX((Settings!$A$21:$A$25&lt;=$A618)*Settings!$A$21:$A$25)))+D618*SUMIFS(Settings!$C$21:$C$25,Settings!$A$21:$A$25,SUMPRODUCT(MAX((Settings!$A$21:$A$25&lt;=$A618)*Settings!$A$21:$A$25))))</f>
      </c>
      <c r="M618" s="32">
        <f>IF($A618="","",L618*IFERROR(INDEX(Settings!$B$30:$B$36,MATCH($B618,Settings!$A$30:$A$36,0)),0))</f>
      </c>
      <c r="N618" s="32">
        <f t="shared" si="46"/>
      </c>
      <c r="O618" s="33">
        <f t="shared" si="47"/>
      </c>
      <c r="P618" s="32">
        <f t="shared" si="48"/>
      </c>
      <c r="Q618" s="33">
        <f t="shared" si="49"/>
      </c>
    </row>
    <row r="619" spans="1:17" x14ac:dyDescent="0.25">
      <c r="A619" s="22"/>
      <c r="B619" s="5"/>
      <c r="C619" s="5"/>
      <c r="D619" s="5"/>
      <c r="E619" s="5"/>
      <c r="F619" s="5"/>
      <c r="G619" s="5"/>
      <c r="H619" s="23"/>
      <c r="I619" s="23"/>
      <c r="J619" s="5"/>
      <c r="K619" s="31">
        <f t="shared" si="45"/>
      </c>
      <c r="L619" s="32">
        <f>IF($A619="","",C619*SUMIFS(Settings!$B$21:$B$25,Settings!$A$21:$A$25,SUMPRODUCT(MAX((Settings!$A$21:$A$25&lt;=$A619)*Settings!$A$21:$A$25)))+D619*SUMIFS(Settings!$C$21:$C$25,Settings!$A$21:$A$25,SUMPRODUCT(MAX((Settings!$A$21:$A$25&lt;=$A619)*Settings!$A$21:$A$25))))</f>
      </c>
      <c r="M619" s="32">
        <f>IF($A619="","",L619*IFERROR(INDEX(Settings!$B$30:$B$36,MATCH($B619,Settings!$A$30:$A$36,0)),0))</f>
      </c>
      <c r="N619" s="32">
        <f t="shared" si="46"/>
      </c>
      <c r="O619" s="33">
        <f t="shared" si="47"/>
      </c>
      <c r="P619" s="32">
        <f t="shared" si="48"/>
      </c>
      <c r="Q619" s="33">
        <f t="shared" si="49"/>
      </c>
    </row>
    <row r="620" spans="1:17" x14ac:dyDescent="0.25">
      <c r="A620" s="22"/>
      <c r="B620" s="5"/>
      <c r="C620" s="5"/>
      <c r="D620" s="5"/>
      <c r="E620" s="5"/>
      <c r="F620" s="5"/>
      <c r="G620" s="5"/>
      <c r="H620" s="23"/>
      <c r="I620" s="23"/>
      <c r="J620" s="5"/>
      <c r="K620" s="31">
        <f t="shared" si="45"/>
      </c>
      <c r="L620" s="32">
        <f>IF($A620="","",C620*SUMIFS(Settings!$B$21:$B$25,Settings!$A$21:$A$25,SUMPRODUCT(MAX((Settings!$A$21:$A$25&lt;=$A620)*Settings!$A$21:$A$25)))+D620*SUMIFS(Settings!$C$21:$C$25,Settings!$A$21:$A$25,SUMPRODUCT(MAX((Settings!$A$21:$A$25&lt;=$A620)*Settings!$A$21:$A$25))))</f>
      </c>
      <c r="M620" s="32">
        <f>IF($A620="","",L620*IFERROR(INDEX(Settings!$B$30:$B$36,MATCH($B620,Settings!$A$30:$A$36,0)),0))</f>
      </c>
      <c r="N620" s="32">
        <f t="shared" si="46"/>
      </c>
      <c r="O620" s="33">
        <f t="shared" si="47"/>
      </c>
      <c r="P620" s="32">
        <f t="shared" si="48"/>
      </c>
      <c r="Q620" s="33">
        <f t="shared" si="49"/>
      </c>
    </row>
    <row r="621" spans="1:17" x14ac:dyDescent="0.25">
      <c r="A621" s="22"/>
      <c r="B621" s="5"/>
      <c r="C621" s="5"/>
      <c r="D621" s="5"/>
      <c r="E621" s="5"/>
      <c r="F621" s="5"/>
      <c r="G621" s="5"/>
      <c r="H621" s="23"/>
      <c r="I621" s="23"/>
      <c r="J621" s="5"/>
      <c r="K621" s="31">
        <f t="shared" si="45"/>
      </c>
      <c r="L621" s="32">
        <f>IF($A621="","",C621*SUMIFS(Settings!$B$21:$B$25,Settings!$A$21:$A$25,SUMPRODUCT(MAX((Settings!$A$21:$A$25&lt;=$A621)*Settings!$A$21:$A$25)))+D621*SUMIFS(Settings!$C$21:$C$25,Settings!$A$21:$A$25,SUMPRODUCT(MAX((Settings!$A$21:$A$25&lt;=$A621)*Settings!$A$21:$A$25))))</f>
      </c>
      <c r="M621" s="32">
        <f>IF($A621="","",L621*IFERROR(INDEX(Settings!$B$30:$B$36,MATCH($B621,Settings!$A$30:$A$36,0)),0))</f>
      </c>
      <c r="N621" s="32">
        <f t="shared" si="46"/>
      </c>
      <c r="O621" s="33">
        <f t="shared" si="47"/>
      </c>
      <c r="P621" s="32">
        <f t="shared" si="48"/>
      </c>
      <c r="Q621" s="33">
        <f t="shared" si="49"/>
      </c>
    </row>
    <row r="622" spans="1:17" x14ac:dyDescent="0.25">
      <c r="A622" s="22"/>
      <c r="B622" s="5"/>
      <c r="C622" s="5"/>
      <c r="D622" s="5"/>
      <c r="E622" s="5"/>
      <c r="F622" s="5"/>
      <c r="G622" s="5"/>
      <c r="H622" s="23"/>
      <c r="I622" s="23"/>
      <c r="J622" s="5"/>
      <c r="K622" s="31">
        <f t="shared" si="45"/>
      </c>
      <c r="L622" s="32">
        <f>IF($A622="","",C622*SUMIFS(Settings!$B$21:$B$25,Settings!$A$21:$A$25,SUMPRODUCT(MAX((Settings!$A$21:$A$25&lt;=$A622)*Settings!$A$21:$A$25)))+D622*SUMIFS(Settings!$C$21:$C$25,Settings!$A$21:$A$25,SUMPRODUCT(MAX((Settings!$A$21:$A$25&lt;=$A622)*Settings!$A$21:$A$25))))</f>
      </c>
      <c r="M622" s="32">
        <f>IF($A622="","",L622*IFERROR(INDEX(Settings!$B$30:$B$36,MATCH($B622,Settings!$A$30:$A$36,0)),0))</f>
      </c>
      <c r="N622" s="32">
        <f t="shared" si="46"/>
      </c>
      <c r="O622" s="33">
        <f t="shared" si="47"/>
      </c>
      <c r="P622" s="32">
        <f t="shared" si="48"/>
      </c>
      <c r="Q622" s="33">
        <f t="shared" si="49"/>
      </c>
    </row>
    <row r="623" spans="1:17" x14ac:dyDescent="0.25">
      <c r="A623" s="22"/>
      <c r="B623" s="5"/>
      <c r="C623" s="5"/>
      <c r="D623" s="5"/>
      <c r="E623" s="5"/>
      <c r="F623" s="5"/>
      <c r="G623" s="5"/>
      <c r="H623" s="23"/>
      <c r="I623" s="23"/>
      <c r="J623" s="5"/>
      <c r="K623" s="31">
        <f t="shared" si="45"/>
      </c>
      <c r="L623" s="32">
        <f>IF($A623="","",C623*SUMIFS(Settings!$B$21:$B$25,Settings!$A$21:$A$25,SUMPRODUCT(MAX((Settings!$A$21:$A$25&lt;=$A623)*Settings!$A$21:$A$25)))+D623*SUMIFS(Settings!$C$21:$C$25,Settings!$A$21:$A$25,SUMPRODUCT(MAX((Settings!$A$21:$A$25&lt;=$A623)*Settings!$A$21:$A$25))))</f>
      </c>
      <c r="M623" s="32">
        <f>IF($A623="","",L623*IFERROR(INDEX(Settings!$B$30:$B$36,MATCH($B623,Settings!$A$30:$A$36,0)),0))</f>
      </c>
      <c r="N623" s="32">
        <f t="shared" si="46"/>
      </c>
      <c r="O623" s="33">
        <f t="shared" si="47"/>
      </c>
      <c r="P623" s="32">
        <f t="shared" si="48"/>
      </c>
      <c r="Q623" s="33">
        <f t="shared" si="49"/>
      </c>
    </row>
    <row r="624" spans="1:17" x14ac:dyDescent="0.25">
      <c r="A624" s="22"/>
      <c r="B624" s="5"/>
      <c r="C624" s="5"/>
      <c r="D624" s="5"/>
      <c r="E624" s="5"/>
      <c r="F624" s="5"/>
      <c r="G624" s="5"/>
      <c r="H624" s="23"/>
      <c r="I624" s="23"/>
      <c r="J624" s="5"/>
      <c r="K624" s="31">
        <f t="shared" si="45"/>
      </c>
      <c r="L624" s="32">
        <f>IF($A624="","",C624*SUMIFS(Settings!$B$21:$B$25,Settings!$A$21:$A$25,SUMPRODUCT(MAX((Settings!$A$21:$A$25&lt;=$A624)*Settings!$A$21:$A$25)))+D624*SUMIFS(Settings!$C$21:$C$25,Settings!$A$21:$A$25,SUMPRODUCT(MAX((Settings!$A$21:$A$25&lt;=$A624)*Settings!$A$21:$A$25))))</f>
      </c>
      <c r="M624" s="32">
        <f>IF($A624="","",L624*IFERROR(INDEX(Settings!$B$30:$B$36,MATCH($B624,Settings!$A$30:$A$36,0)),0))</f>
      </c>
      <c r="N624" s="32">
        <f t="shared" si="46"/>
      </c>
      <c r="O624" s="33">
        <f t="shared" si="47"/>
      </c>
      <c r="P624" s="32">
        <f t="shared" si="48"/>
      </c>
      <c r="Q624" s="33">
        <f t="shared" si="49"/>
      </c>
    </row>
    <row r="625" spans="1:17" x14ac:dyDescent="0.25">
      <c r="A625" s="22"/>
      <c r="B625" s="5"/>
      <c r="C625" s="5"/>
      <c r="D625" s="5"/>
      <c r="E625" s="5"/>
      <c r="F625" s="5"/>
      <c r="G625" s="5"/>
      <c r="H625" s="23"/>
      <c r="I625" s="23"/>
      <c r="J625" s="5"/>
      <c r="K625" s="31">
        <f t="shared" si="45"/>
      </c>
      <c r="L625" s="32">
        <f>IF($A625="","",C625*SUMIFS(Settings!$B$21:$B$25,Settings!$A$21:$A$25,SUMPRODUCT(MAX((Settings!$A$21:$A$25&lt;=$A625)*Settings!$A$21:$A$25)))+D625*SUMIFS(Settings!$C$21:$C$25,Settings!$A$21:$A$25,SUMPRODUCT(MAX((Settings!$A$21:$A$25&lt;=$A625)*Settings!$A$21:$A$25))))</f>
      </c>
      <c r="M625" s="32">
        <f>IF($A625="","",L625*IFERROR(INDEX(Settings!$B$30:$B$36,MATCH($B625,Settings!$A$30:$A$36,0)),0))</f>
      </c>
      <c r="N625" s="32">
        <f t="shared" si="46"/>
      </c>
      <c r="O625" s="33">
        <f t="shared" si="47"/>
      </c>
      <c r="P625" s="32">
        <f t="shared" si="48"/>
      </c>
      <c r="Q625" s="33">
        <f t="shared" si="49"/>
      </c>
    </row>
    <row r="626" spans="1:17" x14ac:dyDescent="0.25">
      <c r="A626" s="22"/>
      <c r="B626" s="5"/>
      <c r="C626" s="5"/>
      <c r="D626" s="5"/>
      <c r="E626" s="5"/>
      <c r="F626" s="5"/>
      <c r="G626" s="5"/>
      <c r="H626" s="23"/>
      <c r="I626" s="23"/>
      <c r="J626" s="5"/>
      <c r="K626" s="31">
        <f t="shared" si="45"/>
      </c>
      <c r="L626" s="32">
        <f>IF($A626="","",C626*SUMIFS(Settings!$B$21:$B$25,Settings!$A$21:$A$25,SUMPRODUCT(MAX((Settings!$A$21:$A$25&lt;=$A626)*Settings!$A$21:$A$25)))+D626*SUMIFS(Settings!$C$21:$C$25,Settings!$A$21:$A$25,SUMPRODUCT(MAX((Settings!$A$21:$A$25&lt;=$A626)*Settings!$A$21:$A$25))))</f>
      </c>
      <c r="M626" s="32">
        <f>IF($A626="","",L626*IFERROR(INDEX(Settings!$B$30:$B$36,MATCH($B626,Settings!$A$30:$A$36,0)),0))</f>
      </c>
      <c r="N626" s="32">
        <f t="shared" si="46"/>
      </c>
      <c r="O626" s="33">
        <f t="shared" si="47"/>
      </c>
      <c r="P626" s="32">
        <f t="shared" si="48"/>
      </c>
      <c r="Q626" s="33">
        <f t="shared" si="49"/>
      </c>
    </row>
    <row r="627" spans="1:17" x14ac:dyDescent="0.25">
      <c r="A627" s="22"/>
      <c r="B627" s="5"/>
      <c r="C627" s="5"/>
      <c r="D627" s="5"/>
      <c r="E627" s="5"/>
      <c r="F627" s="5"/>
      <c r="G627" s="5"/>
      <c r="H627" s="23"/>
      <c r="I627" s="23"/>
      <c r="J627" s="5"/>
      <c r="K627" s="31">
        <f t="shared" si="45"/>
      </c>
      <c r="L627" s="32">
        <f>IF($A627="","",C627*SUMIFS(Settings!$B$21:$B$25,Settings!$A$21:$A$25,SUMPRODUCT(MAX((Settings!$A$21:$A$25&lt;=$A627)*Settings!$A$21:$A$25)))+D627*SUMIFS(Settings!$C$21:$C$25,Settings!$A$21:$A$25,SUMPRODUCT(MAX((Settings!$A$21:$A$25&lt;=$A627)*Settings!$A$21:$A$25))))</f>
      </c>
      <c r="M627" s="32">
        <f>IF($A627="","",L627*IFERROR(INDEX(Settings!$B$30:$B$36,MATCH($B627,Settings!$A$30:$A$36,0)),0))</f>
      </c>
      <c r="N627" s="32">
        <f t="shared" si="46"/>
      </c>
      <c r="O627" s="33">
        <f t="shared" si="47"/>
      </c>
      <c r="P627" s="32">
        <f t="shared" si="48"/>
      </c>
      <c r="Q627" s="33">
        <f t="shared" si="49"/>
      </c>
    </row>
    <row r="628" spans="1:17" x14ac:dyDescent="0.25">
      <c r="A628" s="22"/>
      <c r="B628" s="5"/>
      <c r="C628" s="5"/>
      <c r="D628" s="5"/>
      <c r="E628" s="5"/>
      <c r="F628" s="5"/>
      <c r="G628" s="5"/>
      <c r="H628" s="23"/>
      <c r="I628" s="23"/>
      <c r="J628" s="5"/>
      <c r="K628" s="31">
        <f t="shared" si="45"/>
      </c>
      <c r="L628" s="32">
        <f>IF($A628="","",C628*SUMIFS(Settings!$B$21:$B$25,Settings!$A$21:$A$25,SUMPRODUCT(MAX((Settings!$A$21:$A$25&lt;=$A628)*Settings!$A$21:$A$25)))+D628*SUMIFS(Settings!$C$21:$C$25,Settings!$A$21:$A$25,SUMPRODUCT(MAX((Settings!$A$21:$A$25&lt;=$A628)*Settings!$A$21:$A$25))))</f>
      </c>
      <c r="M628" s="32">
        <f>IF($A628="","",L628*IFERROR(INDEX(Settings!$B$30:$B$36,MATCH($B628,Settings!$A$30:$A$36,0)),0))</f>
      </c>
      <c r="N628" s="32">
        <f t="shared" si="46"/>
      </c>
      <c r="O628" s="33">
        <f t="shared" si="47"/>
      </c>
      <c r="P628" s="32">
        <f t="shared" si="48"/>
      </c>
      <c r="Q628" s="33">
        <f t="shared" si="49"/>
      </c>
    </row>
    <row r="629" spans="1:17" x14ac:dyDescent="0.25">
      <c r="A629" s="22"/>
      <c r="B629" s="5"/>
      <c r="C629" s="5"/>
      <c r="D629" s="5"/>
      <c r="E629" s="5"/>
      <c r="F629" s="5"/>
      <c r="G629" s="5"/>
      <c r="H629" s="23"/>
      <c r="I629" s="23"/>
      <c r="J629" s="5"/>
      <c r="K629" s="31">
        <f t="shared" si="45"/>
      </c>
      <c r="L629" s="32">
        <f>IF($A629="","",C629*SUMIFS(Settings!$B$21:$B$25,Settings!$A$21:$A$25,SUMPRODUCT(MAX((Settings!$A$21:$A$25&lt;=$A629)*Settings!$A$21:$A$25)))+D629*SUMIFS(Settings!$C$21:$C$25,Settings!$A$21:$A$25,SUMPRODUCT(MAX((Settings!$A$21:$A$25&lt;=$A629)*Settings!$A$21:$A$25))))</f>
      </c>
      <c r="M629" s="32">
        <f>IF($A629="","",L629*IFERROR(INDEX(Settings!$B$30:$B$36,MATCH($B629,Settings!$A$30:$A$36,0)),0))</f>
      </c>
      <c r="N629" s="32">
        <f t="shared" si="46"/>
      </c>
      <c r="O629" s="33">
        <f t="shared" si="47"/>
      </c>
      <c r="P629" s="32">
        <f t="shared" si="48"/>
      </c>
      <c r="Q629" s="33">
        <f t="shared" si="49"/>
      </c>
    </row>
    <row r="630" spans="1:17" x14ac:dyDescent="0.25">
      <c r="A630" s="22"/>
      <c r="B630" s="5"/>
      <c r="C630" s="5"/>
      <c r="D630" s="5"/>
      <c r="E630" s="5"/>
      <c r="F630" s="5"/>
      <c r="G630" s="5"/>
      <c r="H630" s="23"/>
      <c r="I630" s="23"/>
      <c r="J630" s="5"/>
      <c r="K630" s="31">
        <f t="shared" si="45"/>
      </c>
      <c r="L630" s="32">
        <f>IF($A630="","",C630*SUMIFS(Settings!$B$21:$B$25,Settings!$A$21:$A$25,SUMPRODUCT(MAX((Settings!$A$21:$A$25&lt;=$A630)*Settings!$A$21:$A$25)))+D630*SUMIFS(Settings!$C$21:$C$25,Settings!$A$21:$A$25,SUMPRODUCT(MAX((Settings!$A$21:$A$25&lt;=$A630)*Settings!$A$21:$A$25))))</f>
      </c>
      <c r="M630" s="32">
        <f>IF($A630="","",L630*IFERROR(INDEX(Settings!$B$30:$B$36,MATCH($B630,Settings!$A$30:$A$36,0)),0))</f>
      </c>
      <c r="N630" s="32">
        <f t="shared" si="46"/>
      </c>
      <c r="O630" s="33">
        <f t="shared" si="47"/>
      </c>
      <c r="P630" s="32">
        <f t="shared" si="48"/>
      </c>
      <c r="Q630" s="33">
        <f t="shared" si="49"/>
      </c>
    </row>
    <row r="631" spans="1:17" x14ac:dyDescent="0.25">
      <c r="A631" s="22"/>
      <c r="B631" s="5"/>
      <c r="C631" s="5"/>
      <c r="D631" s="5"/>
      <c r="E631" s="5"/>
      <c r="F631" s="5"/>
      <c r="G631" s="5"/>
      <c r="H631" s="23"/>
      <c r="I631" s="23"/>
      <c r="J631" s="5"/>
      <c r="K631" s="31">
        <f t="shared" si="45"/>
      </c>
      <c r="L631" s="32">
        <f>IF($A631="","",C631*SUMIFS(Settings!$B$21:$B$25,Settings!$A$21:$A$25,SUMPRODUCT(MAX((Settings!$A$21:$A$25&lt;=$A631)*Settings!$A$21:$A$25)))+D631*SUMIFS(Settings!$C$21:$C$25,Settings!$A$21:$A$25,SUMPRODUCT(MAX((Settings!$A$21:$A$25&lt;=$A631)*Settings!$A$21:$A$25))))</f>
      </c>
      <c r="M631" s="32">
        <f>IF($A631="","",L631*IFERROR(INDEX(Settings!$B$30:$B$36,MATCH($B631,Settings!$A$30:$A$36,0)),0))</f>
      </c>
      <c r="N631" s="32">
        <f t="shared" si="46"/>
      </c>
      <c r="O631" s="33">
        <f t="shared" si="47"/>
      </c>
      <c r="P631" s="32">
        <f t="shared" si="48"/>
      </c>
      <c r="Q631" s="33">
        <f t="shared" si="49"/>
      </c>
    </row>
    <row r="632" spans="1:17" x14ac:dyDescent="0.25">
      <c r="A632" s="22"/>
      <c r="B632" s="5"/>
      <c r="C632" s="5"/>
      <c r="D632" s="5"/>
      <c r="E632" s="5"/>
      <c r="F632" s="5"/>
      <c r="G632" s="5"/>
      <c r="H632" s="23"/>
      <c r="I632" s="23"/>
      <c r="J632" s="5"/>
      <c r="K632" s="31">
        <f t="shared" si="45"/>
      </c>
      <c r="L632" s="32">
        <f>IF($A632="","",C632*SUMIFS(Settings!$B$21:$B$25,Settings!$A$21:$A$25,SUMPRODUCT(MAX((Settings!$A$21:$A$25&lt;=$A632)*Settings!$A$21:$A$25)))+D632*SUMIFS(Settings!$C$21:$C$25,Settings!$A$21:$A$25,SUMPRODUCT(MAX((Settings!$A$21:$A$25&lt;=$A632)*Settings!$A$21:$A$25))))</f>
      </c>
      <c r="M632" s="32">
        <f>IF($A632="","",L632*IFERROR(INDEX(Settings!$B$30:$B$36,MATCH($B632,Settings!$A$30:$A$36,0)),0))</f>
      </c>
      <c r="N632" s="32">
        <f t="shared" si="46"/>
      </c>
      <c r="O632" s="33">
        <f t="shared" si="47"/>
      </c>
      <c r="P632" s="32">
        <f t="shared" si="48"/>
      </c>
      <c r="Q632" s="33">
        <f t="shared" si="49"/>
      </c>
    </row>
    <row r="633" spans="1:17" x14ac:dyDescent="0.25">
      <c r="A633" s="22"/>
      <c r="B633" s="5"/>
      <c r="C633" s="5"/>
      <c r="D633" s="5"/>
      <c r="E633" s="5"/>
      <c r="F633" s="5"/>
      <c r="G633" s="5"/>
      <c r="H633" s="23"/>
      <c r="I633" s="23"/>
      <c r="J633" s="5"/>
      <c r="K633" s="31">
        <f t="shared" si="45"/>
      </c>
      <c r="L633" s="32">
        <f>IF($A633="","",C633*SUMIFS(Settings!$B$21:$B$25,Settings!$A$21:$A$25,SUMPRODUCT(MAX((Settings!$A$21:$A$25&lt;=$A633)*Settings!$A$21:$A$25)))+D633*SUMIFS(Settings!$C$21:$C$25,Settings!$A$21:$A$25,SUMPRODUCT(MAX((Settings!$A$21:$A$25&lt;=$A633)*Settings!$A$21:$A$25))))</f>
      </c>
      <c r="M633" s="32">
        <f>IF($A633="","",L633*IFERROR(INDEX(Settings!$B$30:$B$36,MATCH($B633,Settings!$A$30:$A$36,0)),0))</f>
      </c>
      <c r="N633" s="32">
        <f t="shared" si="46"/>
      </c>
      <c r="O633" s="33">
        <f t="shared" si="47"/>
      </c>
      <c r="P633" s="32">
        <f t="shared" si="48"/>
      </c>
      <c r="Q633" s="33">
        <f t="shared" si="49"/>
      </c>
    </row>
    <row r="634" spans="1:17" x14ac:dyDescent="0.25">
      <c r="A634" s="22"/>
      <c r="B634" s="5"/>
      <c r="C634" s="5"/>
      <c r="D634" s="5"/>
      <c r="E634" s="5"/>
      <c r="F634" s="5"/>
      <c r="G634" s="5"/>
      <c r="H634" s="23"/>
      <c r="I634" s="23"/>
      <c r="J634" s="5"/>
      <c r="K634" s="31">
        <f t="shared" si="45"/>
      </c>
      <c r="L634" s="32">
        <f>IF($A634="","",C634*SUMIFS(Settings!$B$21:$B$25,Settings!$A$21:$A$25,SUMPRODUCT(MAX((Settings!$A$21:$A$25&lt;=$A634)*Settings!$A$21:$A$25)))+D634*SUMIFS(Settings!$C$21:$C$25,Settings!$A$21:$A$25,SUMPRODUCT(MAX((Settings!$A$21:$A$25&lt;=$A634)*Settings!$A$21:$A$25))))</f>
      </c>
      <c r="M634" s="32">
        <f>IF($A634="","",L634*IFERROR(INDEX(Settings!$B$30:$B$36,MATCH($B634,Settings!$A$30:$A$36,0)),0))</f>
      </c>
      <c r="N634" s="32">
        <f t="shared" si="46"/>
      </c>
      <c r="O634" s="33">
        <f t="shared" si="47"/>
      </c>
      <c r="P634" s="32">
        <f t="shared" si="48"/>
      </c>
      <c r="Q634" s="33">
        <f t="shared" si="49"/>
      </c>
    </row>
    <row r="635" spans="1:17" x14ac:dyDescent="0.25">
      <c r="A635" s="22"/>
      <c r="B635" s="5"/>
      <c r="C635" s="5"/>
      <c r="D635" s="5"/>
      <c r="E635" s="5"/>
      <c r="F635" s="5"/>
      <c r="G635" s="5"/>
      <c r="H635" s="23"/>
      <c r="I635" s="23"/>
      <c r="J635" s="5"/>
      <c r="K635" s="31">
        <f t="shared" si="45"/>
      </c>
      <c r="L635" s="32">
        <f>IF($A635="","",C635*SUMIFS(Settings!$B$21:$B$25,Settings!$A$21:$A$25,SUMPRODUCT(MAX((Settings!$A$21:$A$25&lt;=$A635)*Settings!$A$21:$A$25)))+D635*SUMIFS(Settings!$C$21:$C$25,Settings!$A$21:$A$25,SUMPRODUCT(MAX((Settings!$A$21:$A$25&lt;=$A635)*Settings!$A$21:$A$25))))</f>
      </c>
      <c r="M635" s="32">
        <f>IF($A635="","",L635*IFERROR(INDEX(Settings!$B$30:$B$36,MATCH($B635,Settings!$A$30:$A$36,0)),0))</f>
      </c>
      <c r="N635" s="32">
        <f t="shared" si="46"/>
      </c>
      <c r="O635" s="33">
        <f t="shared" si="47"/>
      </c>
      <c r="P635" s="32">
        <f t="shared" si="48"/>
      </c>
      <c r="Q635" s="33">
        <f t="shared" si="49"/>
      </c>
    </row>
    <row r="636" spans="1:17" x14ac:dyDescent="0.25">
      <c r="A636" s="22"/>
      <c r="B636" s="5"/>
      <c r="C636" s="5"/>
      <c r="D636" s="5"/>
      <c r="E636" s="5"/>
      <c r="F636" s="5"/>
      <c r="G636" s="5"/>
      <c r="H636" s="23"/>
      <c r="I636" s="23"/>
      <c r="J636" s="5"/>
      <c r="K636" s="31">
        <f t="shared" si="45"/>
      </c>
      <c r="L636" s="32">
        <f>IF($A636="","",C636*SUMIFS(Settings!$B$21:$B$25,Settings!$A$21:$A$25,SUMPRODUCT(MAX((Settings!$A$21:$A$25&lt;=$A636)*Settings!$A$21:$A$25)))+D636*SUMIFS(Settings!$C$21:$C$25,Settings!$A$21:$A$25,SUMPRODUCT(MAX((Settings!$A$21:$A$25&lt;=$A636)*Settings!$A$21:$A$25))))</f>
      </c>
      <c r="M636" s="32">
        <f>IF($A636="","",L636*IFERROR(INDEX(Settings!$B$30:$B$36,MATCH($B636,Settings!$A$30:$A$36,0)),0))</f>
      </c>
      <c r="N636" s="32">
        <f t="shared" si="46"/>
      </c>
      <c r="O636" s="33">
        <f t="shared" si="47"/>
      </c>
      <c r="P636" s="32">
        <f t="shared" si="48"/>
      </c>
      <c r="Q636" s="33">
        <f t="shared" si="49"/>
      </c>
    </row>
    <row r="637" spans="1:17" x14ac:dyDescent="0.25">
      <c r="A637" s="22"/>
      <c r="B637" s="5"/>
      <c r="C637" s="5"/>
      <c r="D637" s="5"/>
      <c r="E637" s="5"/>
      <c r="F637" s="5"/>
      <c r="G637" s="5"/>
      <c r="H637" s="23"/>
      <c r="I637" s="23"/>
      <c r="J637" s="5"/>
      <c r="K637" s="31">
        <f t="shared" si="45"/>
      </c>
      <c r="L637" s="32">
        <f>IF($A637="","",C637*SUMIFS(Settings!$B$21:$B$25,Settings!$A$21:$A$25,SUMPRODUCT(MAX((Settings!$A$21:$A$25&lt;=$A637)*Settings!$A$21:$A$25)))+D637*SUMIFS(Settings!$C$21:$C$25,Settings!$A$21:$A$25,SUMPRODUCT(MAX((Settings!$A$21:$A$25&lt;=$A637)*Settings!$A$21:$A$25))))</f>
      </c>
      <c r="M637" s="32">
        <f>IF($A637="","",L637*IFERROR(INDEX(Settings!$B$30:$B$36,MATCH($B637,Settings!$A$30:$A$36,0)),0))</f>
      </c>
      <c r="N637" s="32">
        <f t="shared" si="46"/>
      </c>
      <c r="O637" s="33">
        <f t="shared" si="47"/>
      </c>
      <c r="P637" s="32">
        <f t="shared" si="48"/>
      </c>
      <c r="Q637" s="33">
        <f t="shared" si="49"/>
      </c>
    </row>
    <row r="638" spans="1:17" x14ac:dyDescent="0.25">
      <c r="A638" s="22"/>
      <c r="B638" s="5"/>
      <c r="C638" s="5"/>
      <c r="D638" s="5"/>
      <c r="E638" s="5"/>
      <c r="F638" s="5"/>
      <c r="G638" s="5"/>
      <c r="H638" s="23"/>
      <c r="I638" s="23"/>
      <c r="J638" s="5"/>
      <c r="K638" s="31">
        <f t="shared" si="45"/>
      </c>
      <c r="L638" s="32">
        <f>IF($A638="","",C638*SUMIFS(Settings!$B$21:$B$25,Settings!$A$21:$A$25,SUMPRODUCT(MAX((Settings!$A$21:$A$25&lt;=$A638)*Settings!$A$21:$A$25)))+D638*SUMIFS(Settings!$C$21:$C$25,Settings!$A$21:$A$25,SUMPRODUCT(MAX((Settings!$A$21:$A$25&lt;=$A638)*Settings!$A$21:$A$25))))</f>
      </c>
      <c r="M638" s="32">
        <f>IF($A638="","",L638*IFERROR(INDEX(Settings!$B$30:$B$36,MATCH($B638,Settings!$A$30:$A$36,0)),0))</f>
      </c>
      <c r="N638" s="32">
        <f t="shared" si="46"/>
      </c>
      <c r="O638" s="33">
        <f t="shared" si="47"/>
      </c>
      <c r="P638" s="32">
        <f t="shared" si="48"/>
      </c>
      <c r="Q638" s="33">
        <f t="shared" si="49"/>
      </c>
    </row>
    <row r="639" spans="1:17" x14ac:dyDescent="0.25">
      <c r="A639" s="22"/>
      <c r="B639" s="5"/>
      <c r="C639" s="5"/>
      <c r="D639" s="5"/>
      <c r="E639" s="5"/>
      <c r="F639" s="5"/>
      <c r="G639" s="5"/>
      <c r="H639" s="23"/>
      <c r="I639" s="23"/>
      <c r="J639" s="5"/>
      <c r="K639" s="31">
        <f t="shared" si="45"/>
      </c>
      <c r="L639" s="32">
        <f>IF($A639="","",C639*SUMIFS(Settings!$B$21:$B$25,Settings!$A$21:$A$25,SUMPRODUCT(MAX((Settings!$A$21:$A$25&lt;=$A639)*Settings!$A$21:$A$25)))+D639*SUMIFS(Settings!$C$21:$C$25,Settings!$A$21:$A$25,SUMPRODUCT(MAX((Settings!$A$21:$A$25&lt;=$A639)*Settings!$A$21:$A$25))))</f>
      </c>
      <c r="M639" s="32">
        <f>IF($A639="","",L639*IFERROR(INDEX(Settings!$B$30:$B$36,MATCH($B639,Settings!$A$30:$A$36,0)),0))</f>
      </c>
      <c r="N639" s="32">
        <f t="shared" si="46"/>
      </c>
      <c r="O639" s="33">
        <f t="shared" si="47"/>
      </c>
      <c r="P639" s="32">
        <f t="shared" si="48"/>
      </c>
      <c r="Q639" s="33">
        <f t="shared" si="49"/>
      </c>
    </row>
    <row r="640" spans="1:17" x14ac:dyDescent="0.25">
      <c r="A640" s="22"/>
      <c r="B640" s="5"/>
      <c r="C640" s="5"/>
      <c r="D640" s="5"/>
      <c r="E640" s="5"/>
      <c r="F640" s="5"/>
      <c r="G640" s="5"/>
      <c r="H640" s="23"/>
      <c r="I640" s="23"/>
      <c r="J640" s="5"/>
      <c r="K640" s="31">
        <f t="shared" si="45"/>
      </c>
      <c r="L640" s="32">
        <f>IF($A640="","",C640*SUMIFS(Settings!$B$21:$B$25,Settings!$A$21:$A$25,SUMPRODUCT(MAX((Settings!$A$21:$A$25&lt;=$A640)*Settings!$A$21:$A$25)))+D640*SUMIFS(Settings!$C$21:$C$25,Settings!$A$21:$A$25,SUMPRODUCT(MAX((Settings!$A$21:$A$25&lt;=$A640)*Settings!$A$21:$A$25))))</f>
      </c>
      <c r="M640" s="32">
        <f>IF($A640="","",L640*IFERROR(INDEX(Settings!$B$30:$B$36,MATCH($B640,Settings!$A$30:$A$36,0)),0))</f>
      </c>
      <c r="N640" s="32">
        <f t="shared" si="46"/>
      </c>
      <c r="O640" s="33">
        <f t="shared" si="47"/>
      </c>
      <c r="P640" s="32">
        <f t="shared" si="48"/>
      </c>
      <c r="Q640" s="33">
        <f t="shared" si="49"/>
      </c>
    </row>
    <row r="641" spans="1:17" x14ac:dyDescent="0.25">
      <c r="A641" s="22"/>
      <c r="B641" s="5"/>
      <c r="C641" s="5"/>
      <c r="D641" s="5"/>
      <c r="E641" s="5"/>
      <c r="F641" s="5"/>
      <c r="G641" s="5"/>
      <c r="H641" s="23"/>
      <c r="I641" s="23"/>
      <c r="J641" s="5"/>
      <c r="K641" s="31">
        <f t="shared" si="45"/>
      </c>
      <c r="L641" s="32">
        <f>IF($A641="","",C641*SUMIFS(Settings!$B$21:$B$25,Settings!$A$21:$A$25,SUMPRODUCT(MAX((Settings!$A$21:$A$25&lt;=$A641)*Settings!$A$21:$A$25)))+D641*SUMIFS(Settings!$C$21:$C$25,Settings!$A$21:$A$25,SUMPRODUCT(MAX((Settings!$A$21:$A$25&lt;=$A641)*Settings!$A$21:$A$25))))</f>
      </c>
      <c r="M641" s="32">
        <f>IF($A641="","",L641*IFERROR(INDEX(Settings!$B$30:$B$36,MATCH($B641,Settings!$A$30:$A$36,0)),0))</f>
      </c>
      <c r="N641" s="32">
        <f t="shared" si="46"/>
      </c>
      <c r="O641" s="33">
        <f t="shared" si="47"/>
      </c>
      <c r="P641" s="32">
        <f t="shared" si="48"/>
      </c>
      <c r="Q641" s="33">
        <f t="shared" si="49"/>
      </c>
    </row>
    <row r="642" spans="1:17" x14ac:dyDescent="0.25">
      <c r="A642" s="22"/>
      <c r="B642" s="5"/>
      <c r="C642" s="5"/>
      <c r="D642" s="5"/>
      <c r="E642" s="5"/>
      <c r="F642" s="5"/>
      <c r="G642" s="5"/>
      <c r="H642" s="23"/>
      <c r="I642" s="23"/>
      <c r="J642" s="5"/>
      <c r="K642" s="31">
        <f t="shared" si="45"/>
      </c>
      <c r="L642" s="32">
        <f>IF($A642="","",C642*SUMIFS(Settings!$B$21:$B$25,Settings!$A$21:$A$25,SUMPRODUCT(MAX((Settings!$A$21:$A$25&lt;=$A642)*Settings!$A$21:$A$25)))+D642*SUMIFS(Settings!$C$21:$C$25,Settings!$A$21:$A$25,SUMPRODUCT(MAX((Settings!$A$21:$A$25&lt;=$A642)*Settings!$A$21:$A$25))))</f>
      </c>
      <c r="M642" s="32">
        <f>IF($A642="","",L642*IFERROR(INDEX(Settings!$B$30:$B$36,MATCH($B642,Settings!$A$30:$A$36,0)),0))</f>
      </c>
      <c r="N642" s="32">
        <f t="shared" si="46"/>
      </c>
      <c r="O642" s="33">
        <f t="shared" si="47"/>
      </c>
      <c r="P642" s="32">
        <f t="shared" si="48"/>
      </c>
      <c r="Q642" s="33">
        <f t="shared" si="49"/>
      </c>
    </row>
    <row r="643" spans="1:17" x14ac:dyDescent="0.25">
      <c r="A643" s="22"/>
      <c r="B643" s="5"/>
      <c r="C643" s="5"/>
      <c r="D643" s="5"/>
      <c r="E643" s="5"/>
      <c r="F643" s="5"/>
      <c r="G643" s="5"/>
      <c r="H643" s="23"/>
      <c r="I643" s="23"/>
      <c r="J643" s="5"/>
      <c r="K643" s="31">
        <f t="shared" si="45"/>
      </c>
      <c r="L643" s="32">
        <f>IF($A643="","",C643*SUMIFS(Settings!$B$21:$B$25,Settings!$A$21:$A$25,SUMPRODUCT(MAX((Settings!$A$21:$A$25&lt;=$A643)*Settings!$A$21:$A$25)))+D643*SUMIFS(Settings!$C$21:$C$25,Settings!$A$21:$A$25,SUMPRODUCT(MAX((Settings!$A$21:$A$25&lt;=$A643)*Settings!$A$21:$A$25))))</f>
      </c>
      <c r="M643" s="32">
        <f>IF($A643="","",L643*IFERROR(INDEX(Settings!$B$30:$B$36,MATCH($B643,Settings!$A$30:$A$36,0)),0))</f>
      </c>
      <c r="N643" s="32">
        <f t="shared" si="46"/>
      </c>
      <c r="O643" s="33">
        <f t="shared" si="47"/>
      </c>
      <c r="P643" s="32">
        <f t="shared" si="48"/>
      </c>
      <c r="Q643" s="33">
        <f t="shared" si="49"/>
      </c>
    </row>
    <row r="644" spans="1:17" x14ac:dyDescent="0.25">
      <c r="A644" s="22"/>
      <c r="B644" s="5"/>
      <c r="C644" s="5"/>
      <c r="D644" s="5"/>
      <c r="E644" s="5"/>
      <c r="F644" s="5"/>
      <c r="G644" s="5"/>
      <c r="H644" s="23"/>
      <c r="I644" s="23"/>
      <c r="J644" s="5"/>
      <c r="K644" s="31">
        <f t="shared" si="45"/>
      </c>
      <c r="L644" s="32">
        <f>IF($A644="","",C644*SUMIFS(Settings!$B$21:$B$25,Settings!$A$21:$A$25,SUMPRODUCT(MAX((Settings!$A$21:$A$25&lt;=$A644)*Settings!$A$21:$A$25)))+D644*SUMIFS(Settings!$C$21:$C$25,Settings!$A$21:$A$25,SUMPRODUCT(MAX((Settings!$A$21:$A$25&lt;=$A644)*Settings!$A$21:$A$25))))</f>
      </c>
      <c r="M644" s="32">
        <f>IF($A644="","",L644*IFERROR(INDEX(Settings!$B$30:$B$36,MATCH($B644,Settings!$A$30:$A$36,0)),0))</f>
      </c>
      <c r="N644" s="32">
        <f t="shared" si="46"/>
      </c>
      <c r="O644" s="33">
        <f t="shared" si="47"/>
      </c>
      <c r="P644" s="32">
        <f t="shared" si="48"/>
      </c>
      <c r="Q644" s="33">
        <f t="shared" si="49"/>
      </c>
    </row>
    <row r="645" spans="1:17" x14ac:dyDescent="0.25">
      <c r="A645" s="22"/>
      <c r="B645" s="5"/>
      <c r="C645" s="5"/>
      <c r="D645" s="5"/>
      <c r="E645" s="5"/>
      <c r="F645" s="5"/>
      <c r="G645" s="5"/>
      <c r="H645" s="23"/>
      <c r="I645" s="23"/>
      <c r="J645" s="5"/>
      <c r="K645" s="31">
        <f t="shared" si="45"/>
      </c>
      <c r="L645" s="32">
        <f>IF($A645="","",C645*SUMIFS(Settings!$B$21:$B$25,Settings!$A$21:$A$25,SUMPRODUCT(MAX((Settings!$A$21:$A$25&lt;=$A645)*Settings!$A$21:$A$25)))+D645*SUMIFS(Settings!$C$21:$C$25,Settings!$A$21:$A$25,SUMPRODUCT(MAX((Settings!$A$21:$A$25&lt;=$A645)*Settings!$A$21:$A$25))))</f>
      </c>
      <c r="M645" s="32">
        <f>IF($A645="","",L645*IFERROR(INDEX(Settings!$B$30:$B$36,MATCH($B645,Settings!$A$30:$A$36,0)),0))</f>
      </c>
      <c r="N645" s="32">
        <f t="shared" si="46"/>
      </c>
      <c r="O645" s="33">
        <f t="shared" si="47"/>
      </c>
      <c r="P645" s="32">
        <f t="shared" si="48"/>
      </c>
      <c r="Q645" s="33">
        <f t="shared" si="49"/>
      </c>
    </row>
    <row r="646" spans="1:17" x14ac:dyDescent="0.25">
      <c r="A646" s="22"/>
      <c r="B646" s="5"/>
      <c r="C646" s="5"/>
      <c r="D646" s="5"/>
      <c r="E646" s="5"/>
      <c r="F646" s="5"/>
      <c r="G646" s="5"/>
      <c r="H646" s="23"/>
      <c r="I646" s="23"/>
      <c r="J646" s="5"/>
      <c r="K646" s="31">
        <f t="shared" ref="K646:K709" si="50">IF($A646="","",C646+D646)</f>
      </c>
      <c r="L646" s="32">
        <f>IF($A646="","",C646*SUMIFS(Settings!$B$21:$B$25,Settings!$A$21:$A$25,SUMPRODUCT(MAX((Settings!$A$21:$A$25&lt;=$A646)*Settings!$A$21:$A$25)))+D646*SUMIFS(Settings!$C$21:$C$25,Settings!$A$21:$A$25,SUMPRODUCT(MAX((Settings!$A$21:$A$25&lt;=$A646)*Settings!$A$21:$A$25))))</f>
      </c>
      <c r="M646" s="32">
        <f>IF($A646="","",L646*IFERROR(INDEX(Settings!$B$30:$B$36,MATCH($B646,Settings!$A$30:$A$36,0)),0))</f>
      </c>
      <c r="N646" s="32">
        <f t="shared" ref="N646:N709" si="51">IF(OR($A646="",F646="",G646=""),"",(F646-G646)-(K646+E646))</f>
      </c>
      <c r="O646" s="33">
        <f t="shared" ref="O646:O709" si="52">IF(N646="","",IF(N646=0,"OK","CHECK"))</f>
      </c>
      <c r="P646" s="32">
        <f t="shared" ref="P646:P709" si="53">IF(OR($A646="",AND(H646="",I646="")),"",H646+I646-L646)</f>
      </c>
      <c r="Q646" s="33">
        <f t="shared" ref="Q646:Q709" si="54">IF(P646="","",IF(P646=0,"OK","CHECK"))</f>
      </c>
    </row>
    <row r="647" spans="1:17" x14ac:dyDescent="0.25">
      <c r="A647" s="22"/>
      <c r="B647" s="5"/>
      <c r="C647" s="5"/>
      <c r="D647" s="5"/>
      <c r="E647" s="5"/>
      <c r="F647" s="5"/>
      <c r="G647" s="5"/>
      <c r="H647" s="23"/>
      <c r="I647" s="23"/>
      <c r="J647" s="5"/>
      <c r="K647" s="31">
        <f t="shared" si="50"/>
      </c>
      <c r="L647" s="32">
        <f>IF($A647="","",C647*SUMIFS(Settings!$B$21:$B$25,Settings!$A$21:$A$25,SUMPRODUCT(MAX((Settings!$A$21:$A$25&lt;=$A647)*Settings!$A$21:$A$25)))+D647*SUMIFS(Settings!$C$21:$C$25,Settings!$A$21:$A$25,SUMPRODUCT(MAX((Settings!$A$21:$A$25&lt;=$A647)*Settings!$A$21:$A$25))))</f>
      </c>
      <c r="M647" s="32">
        <f>IF($A647="","",L647*IFERROR(INDEX(Settings!$B$30:$B$36,MATCH($B647,Settings!$A$30:$A$36,0)),0))</f>
      </c>
      <c r="N647" s="32">
        <f t="shared" si="51"/>
      </c>
      <c r="O647" s="33">
        <f t="shared" si="52"/>
      </c>
      <c r="P647" s="32">
        <f t="shared" si="53"/>
      </c>
      <c r="Q647" s="33">
        <f t="shared" si="54"/>
      </c>
    </row>
    <row r="648" spans="1:17" x14ac:dyDescent="0.25">
      <c r="A648" s="22"/>
      <c r="B648" s="5"/>
      <c r="C648" s="5"/>
      <c r="D648" s="5"/>
      <c r="E648" s="5"/>
      <c r="F648" s="5"/>
      <c r="G648" s="5"/>
      <c r="H648" s="23"/>
      <c r="I648" s="23"/>
      <c r="J648" s="5"/>
      <c r="K648" s="31">
        <f t="shared" si="50"/>
      </c>
      <c r="L648" s="32">
        <f>IF($A648="","",C648*SUMIFS(Settings!$B$21:$B$25,Settings!$A$21:$A$25,SUMPRODUCT(MAX((Settings!$A$21:$A$25&lt;=$A648)*Settings!$A$21:$A$25)))+D648*SUMIFS(Settings!$C$21:$C$25,Settings!$A$21:$A$25,SUMPRODUCT(MAX((Settings!$A$21:$A$25&lt;=$A648)*Settings!$A$21:$A$25))))</f>
      </c>
      <c r="M648" s="32">
        <f>IF($A648="","",L648*IFERROR(INDEX(Settings!$B$30:$B$36,MATCH($B648,Settings!$A$30:$A$36,0)),0))</f>
      </c>
      <c r="N648" s="32">
        <f t="shared" si="51"/>
      </c>
      <c r="O648" s="33">
        <f t="shared" si="52"/>
      </c>
      <c r="P648" s="32">
        <f t="shared" si="53"/>
      </c>
      <c r="Q648" s="33">
        <f t="shared" si="54"/>
      </c>
    </row>
    <row r="649" spans="1:17" x14ac:dyDescent="0.25">
      <c r="A649" s="22"/>
      <c r="B649" s="5"/>
      <c r="C649" s="5"/>
      <c r="D649" s="5"/>
      <c r="E649" s="5"/>
      <c r="F649" s="5"/>
      <c r="G649" s="5"/>
      <c r="H649" s="23"/>
      <c r="I649" s="23"/>
      <c r="J649" s="5"/>
      <c r="K649" s="31">
        <f t="shared" si="50"/>
      </c>
      <c r="L649" s="32">
        <f>IF($A649="","",C649*SUMIFS(Settings!$B$21:$B$25,Settings!$A$21:$A$25,SUMPRODUCT(MAX((Settings!$A$21:$A$25&lt;=$A649)*Settings!$A$21:$A$25)))+D649*SUMIFS(Settings!$C$21:$C$25,Settings!$A$21:$A$25,SUMPRODUCT(MAX((Settings!$A$21:$A$25&lt;=$A649)*Settings!$A$21:$A$25))))</f>
      </c>
      <c r="M649" s="32">
        <f>IF($A649="","",L649*IFERROR(INDEX(Settings!$B$30:$B$36,MATCH($B649,Settings!$A$30:$A$36,0)),0))</f>
      </c>
      <c r="N649" s="32">
        <f t="shared" si="51"/>
      </c>
      <c r="O649" s="33">
        <f t="shared" si="52"/>
      </c>
      <c r="P649" s="32">
        <f t="shared" si="53"/>
      </c>
      <c r="Q649" s="33">
        <f t="shared" si="54"/>
      </c>
    </row>
    <row r="650" spans="1:17" x14ac:dyDescent="0.25">
      <c r="A650" s="22"/>
      <c r="B650" s="5"/>
      <c r="C650" s="5"/>
      <c r="D650" s="5"/>
      <c r="E650" s="5"/>
      <c r="F650" s="5"/>
      <c r="G650" s="5"/>
      <c r="H650" s="23"/>
      <c r="I650" s="23"/>
      <c r="J650" s="5"/>
      <c r="K650" s="31">
        <f t="shared" si="50"/>
      </c>
      <c r="L650" s="32">
        <f>IF($A650="","",C650*SUMIFS(Settings!$B$21:$B$25,Settings!$A$21:$A$25,SUMPRODUCT(MAX((Settings!$A$21:$A$25&lt;=$A650)*Settings!$A$21:$A$25)))+D650*SUMIFS(Settings!$C$21:$C$25,Settings!$A$21:$A$25,SUMPRODUCT(MAX((Settings!$A$21:$A$25&lt;=$A650)*Settings!$A$21:$A$25))))</f>
      </c>
      <c r="M650" s="32">
        <f>IF($A650="","",L650*IFERROR(INDEX(Settings!$B$30:$B$36,MATCH($B650,Settings!$A$30:$A$36,0)),0))</f>
      </c>
      <c r="N650" s="32">
        <f t="shared" si="51"/>
      </c>
      <c r="O650" s="33">
        <f t="shared" si="52"/>
      </c>
      <c r="P650" s="32">
        <f t="shared" si="53"/>
      </c>
      <c r="Q650" s="33">
        <f t="shared" si="54"/>
      </c>
    </row>
    <row r="651" spans="1:17" x14ac:dyDescent="0.25">
      <c r="A651" s="22"/>
      <c r="B651" s="5"/>
      <c r="C651" s="5"/>
      <c r="D651" s="5"/>
      <c r="E651" s="5"/>
      <c r="F651" s="5"/>
      <c r="G651" s="5"/>
      <c r="H651" s="23"/>
      <c r="I651" s="23"/>
      <c r="J651" s="5"/>
      <c r="K651" s="31">
        <f t="shared" si="50"/>
      </c>
      <c r="L651" s="32">
        <f>IF($A651="","",C651*SUMIFS(Settings!$B$21:$B$25,Settings!$A$21:$A$25,SUMPRODUCT(MAX((Settings!$A$21:$A$25&lt;=$A651)*Settings!$A$21:$A$25)))+D651*SUMIFS(Settings!$C$21:$C$25,Settings!$A$21:$A$25,SUMPRODUCT(MAX((Settings!$A$21:$A$25&lt;=$A651)*Settings!$A$21:$A$25))))</f>
      </c>
      <c r="M651" s="32">
        <f>IF($A651="","",L651*IFERROR(INDEX(Settings!$B$30:$B$36,MATCH($B651,Settings!$A$30:$A$36,0)),0))</f>
      </c>
      <c r="N651" s="32">
        <f t="shared" si="51"/>
      </c>
      <c r="O651" s="33">
        <f t="shared" si="52"/>
      </c>
      <c r="P651" s="32">
        <f t="shared" si="53"/>
      </c>
      <c r="Q651" s="33">
        <f t="shared" si="54"/>
      </c>
    </row>
    <row r="652" spans="1:17" x14ac:dyDescent="0.25">
      <c r="A652" s="22"/>
      <c r="B652" s="5"/>
      <c r="C652" s="5"/>
      <c r="D652" s="5"/>
      <c r="E652" s="5"/>
      <c r="F652" s="5"/>
      <c r="G652" s="5"/>
      <c r="H652" s="23"/>
      <c r="I652" s="23"/>
      <c r="J652" s="5"/>
      <c r="K652" s="31">
        <f t="shared" si="50"/>
      </c>
      <c r="L652" s="32">
        <f>IF($A652="","",C652*SUMIFS(Settings!$B$21:$B$25,Settings!$A$21:$A$25,SUMPRODUCT(MAX((Settings!$A$21:$A$25&lt;=$A652)*Settings!$A$21:$A$25)))+D652*SUMIFS(Settings!$C$21:$C$25,Settings!$A$21:$A$25,SUMPRODUCT(MAX((Settings!$A$21:$A$25&lt;=$A652)*Settings!$A$21:$A$25))))</f>
      </c>
      <c r="M652" s="32">
        <f>IF($A652="","",L652*IFERROR(INDEX(Settings!$B$30:$B$36,MATCH($B652,Settings!$A$30:$A$36,0)),0))</f>
      </c>
      <c r="N652" s="32">
        <f t="shared" si="51"/>
      </c>
      <c r="O652" s="33">
        <f t="shared" si="52"/>
      </c>
      <c r="P652" s="32">
        <f t="shared" si="53"/>
      </c>
      <c r="Q652" s="33">
        <f t="shared" si="54"/>
      </c>
    </row>
    <row r="653" spans="1:17" x14ac:dyDescent="0.25">
      <c r="A653" s="22"/>
      <c r="B653" s="5"/>
      <c r="C653" s="5"/>
      <c r="D653" s="5"/>
      <c r="E653" s="5"/>
      <c r="F653" s="5"/>
      <c r="G653" s="5"/>
      <c r="H653" s="23"/>
      <c r="I653" s="23"/>
      <c r="J653" s="5"/>
      <c r="K653" s="31">
        <f t="shared" si="50"/>
      </c>
      <c r="L653" s="32">
        <f>IF($A653="","",C653*SUMIFS(Settings!$B$21:$B$25,Settings!$A$21:$A$25,SUMPRODUCT(MAX((Settings!$A$21:$A$25&lt;=$A653)*Settings!$A$21:$A$25)))+D653*SUMIFS(Settings!$C$21:$C$25,Settings!$A$21:$A$25,SUMPRODUCT(MAX((Settings!$A$21:$A$25&lt;=$A653)*Settings!$A$21:$A$25))))</f>
      </c>
      <c r="M653" s="32">
        <f>IF($A653="","",L653*IFERROR(INDEX(Settings!$B$30:$B$36,MATCH($B653,Settings!$A$30:$A$36,0)),0))</f>
      </c>
      <c r="N653" s="32">
        <f t="shared" si="51"/>
      </c>
      <c r="O653" s="33">
        <f t="shared" si="52"/>
      </c>
      <c r="P653" s="32">
        <f t="shared" si="53"/>
      </c>
      <c r="Q653" s="33">
        <f t="shared" si="54"/>
      </c>
    </row>
    <row r="654" spans="1:17" x14ac:dyDescent="0.25">
      <c r="A654" s="22"/>
      <c r="B654" s="5"/>
      <c r="C654" s="5"/>
      <c r="D654" s="5"/>
      <c r="E654" s="5"/>
      <c r="F654" s="5"/>
      <c r="G654" s="5"/>
      <c r="H654" s="23"/>
      <c r="I654" s="23"/>
      <c r="J654" s="5"/>
      <c r="K654" s="31">
        <f t="shared" si="50"/>
      </c>
      <c r="L654" s="32">
        <f>IF($A654="","",C654*SUMIFS(Settings!$B$21:$B$25,Settings!$A$21:$A$25,SUMPRODUCT(MAX((Settings!$A$21:$A$25&lt;=$A654)*Settings!$A$21:$A$25)))+D654*SUMIFS(Settings!$C$21:$C$25,Settings!$A$21:$A$25,SUMPRODUCT(MAX((Settings!$A$21:$A$25&lt;=$A654)*Settings!$A$21:$A$25))))</f>
      </c>
      <c r="M654" s="32">
        <f>IF($A654="","",L654*IFERROR(INDEX(Settings!$B$30:$B$36,MATCH($B654,Settings!$A$30:$A$36,0)),0))</f>
      </c>
      <c r="N654" s="32">
        <f t="shared" si="51"/>
      </c>
      <c r="O654" s="33">
        <f t="shared" si="52"/>
      </c>
      <c r="P654" s="32">
        <f t="shared" si="53"/>
      </c>
      <c r="Q654" s="33">
        <f t="shared" si="54"/>
      </c>
    </row>
    <row r="655" spans="1:17" x14ac:dyDescent="0.25">
      <c r="A655" s="22"/>
      <c r="B655" s="5"/>
      <c r="C655" s="5"/>
      <c r="D655" s="5"/>
      <c r="E655" s="5"/>
      <c r="F655" s="5"/>
      <c r="G655" s="5"/>
      <c r="H655" s="23"/>
      <c r="I655" s="23"/>
      <c r="J655" s="5"/>
      <c r="K655" s="31">
        <f t="shared" si="50"/>
      </c>
      <c r="L655" s="32">
        <f>IF($A655="","",C655*SUMIFS(Settings!$B$21:$B$25,Settings!$A$21:$A$25,SUMPRODUCT(MAX((Settings!$A$21:$A$25&lt;=$A655)*Settings!$A$21:$A$25)))+D655*SUMIFS(Settings!$C$21:$C$25,Settings!$A$21:$A$25,SUMPRODUCT(MAX((Settings!$A$21:$A$25&lt;=$A655)*Settings!$A$21:$A$25))))</f>
      </c>
      <c r="M655" s="32">
        <f>IF($A655="","",L655*IFERROR(INDEX(Settings!$B$30:$B$36,MATCH($B655,Settings!$A$30:$A$36,0)),0))</f>
      </c>
      <c r="N655" s="32">
        <f t="shared" si="51"/>
      </c>
      <c r="O655" s="33">
        <f t="shared" si="52"/>
      </c>
      <c r="P655" s="32">
        <f t="shared" si="53"/>
      </c>
      <c r="Q655" s="33">
        <f t="shared" si="54"/>
      </c>
    </row>
    <row r="656" spans="1:17" x14ac:dyDescent="0.25">
      <c r="A656" s="22"/>
      <c r="B656" s="5"/>
      <c r="C656" s="5"/>
      <c r="D656" s="5"/>
      <c r="E656" s="5"/>
      <c r="F656" s="5"/>
      <c r="G656" s="5"/>
      <c r="H656" s="23"/>
      <c r="I656" s="23"/>
      <c r="J656" s="5"/>
      <c r="K656" s="31">
        <f t="shared" si="50"/>
      </c>
      <c r="L656" s="32">
        <f>IF($A656="","",C656*SUMIFS(Settings!$B$21:$B$25,Settings!$A$21:$A$25,SUMPRODUCT(MAX((Settings!$A$21:$A$25&lt;=$A656)*Settings!$A$21:$A$25)))+D656*SUMIFS(Settings!$C$21:$C$25,Settings!$A$21:$A$25,SUMPRODUCT(MAX((Settings!$A$21:$A$25&lt;=$A656)*Settings!$A$21:$A$25))))</f>
      </c>
      <c r="M656" s="32">
        <f>IF($A656="","",L656*IFERROR(INDEX(Settings!$B$30:$B$36,MATCH($B656,Settings!$A$30:$A$36,0)),0))</f>
      </c>
      <c r="N656" s="32">
        <f t="shared" si="51"/>
      </c>
      <c r="O656" s="33">
        <f t="shared" si="52"/>
      </c>
      <c r="P656" s="32">
        <f t="shared" si="53"/>
      </c>
      <c r="Q656" s="33">
        <f t="shared" si="54"/>
      </c>
    </row>
    <row r="657" spans="1:17" x14ac:dyDescent="0.25">
      <c r="A657" s="22"/>
      <c r="B657" s="5"/>
      <c r="C657" s="5"/>
      <c r="D657" s="5"/>
      <c r="E657" s="5"/>
      <c r="F657" s="5"/>
      <c r="G657" s="5"/>
      <c r="H657" s="23"/>
      <c r="I657" s="23"/>
      <c r="J657" s="5"/>
      <c r="K657" s="31">
        <f t="shared" si="50"/>
      </c>
      <c r="L657" s="32">
        <f>IF($A657="","",C657*SUMIFS(Settings!$B$21:$B$25,Settings!$A$21:$A$25,SUMPRODUCT(MAX((Settings!$A$21:$A$25&lt;=$A657)*Settings!$A$21:$A$25)))+D657*SUMIFS(Settings!$C$21:$C$25,Settings!$A$21:$A$25,SUMPRODUCT(MAX((Settings!$A$21:$A$25&lt;=$A657)*Settings!$A$21:$A$25))))</f>
      </c>
      <c r="M657" s="32">
        <f>IF($A657="","",L657*IFERROR(INDEX(Settings!$B$30:$B$36,MATCH($B657,Settings!$A$30:$A$36,0)),0))</f>
      </c>
      <c r="N657" s="32">
        <f t="shared" si="51"/>
      </c>
      <c r="O657" s="33">
        <f t="shared" si="52"/>
      </c>
      <c r="P657" s="32">
        <f t="shared" si="53"/>
      </c>
      <c r="Q657" s="33">
        <f t="shared" si="54"/>
      </c>
    </row>
    <row r="658" spans="1:17" x14ac:dyDescent="0.25">
      <c r="A658" s="22"/>
      <c r="B658" s="5"/>
      <c r="C658" s="5"/>
      <c r="D658" s="5"/>
      <c r="E658" s="5"/>
      <c r="F658" s="5"/>
      <c r="G658" s="5"/>
      <c r="H658" s="23"/>
      <c r="I658" s="23"/>
      <c r="J658" s="5"/>
      <c r="K658" s="31">
        <f t="shared" si="50"/>
      </c>
      <c r="L658" s="32">
        <f>IF($A658="","",C658*SUMIFS(Settings!$B$21:$B$25,Settings!$A$21:$A$25,SUMPRODUCT(MAX((Settings!$A$21:$A$25&lt;=$A658)*Settings!$A$21:$A$25)))+D658*SUMIFS(Settings!$C$21:$C$25,Settings!$A$21:$A$25,SUMPRODUCT(MAX((Settings!$A$21:$A$25&lt;=$A658)*Settings!$A$21:$A$25))))</f>
      </c>
      <c r="M658" s="32">
        <f>IF($A658="","",L658*IFERROR(INDEX(Settings!$B$30:$B$36,MATCH($B658,Settings!$A$30:$A$36,0)),0))</f>
      </c>
      <c r="N658" s="32">
        <f t="shared" si="51"/>
      </c>
      <c r="O658" s="33">
        <f t="shared" si="52"/>
      </c>
      <c r="P658" s="32">
        <f t="shared" si="53"/>
      </c>
      <c r="Q658" s="33">
        <f t="shared" si="54"/>
      </c>
    </row>
    <row r="659" spans="1:17" x14ac:dyDescent="0.25">
      <c r="A659" s="22"/>
      <c r="B659" s="5"/>
      <c r="C659" s="5"/>
      <c r="D659" s="5"/>
      <c r="E659" s="5"/>
      <c r="F659" s="5"/>
      <c r="G659" s="5"/>
      <c r="H659" s="23"/>
      <c r="I659" s="23"/>
      <c r="J659" s="5"/>
      <c r="K659" s="31">
        <f t="shared" si="50"/>
      </c>
      <c r="L659" s="32">
        <f>IF($A659="","",C659*SUMIFS(Settings!$B$21:$B$25,Settings!$A$21:$A$25,SUMPRODUCT(MAX((Settings!$A$21:$A$25&lt;=$A659)*Settings!$A$21:$A$25)))+D659*SUMIFS(Settings!$C$21:$C$25,Settings!$A$21:$A$25,SUMPRODUCT(MAX((Settings!$A$21:$A$25&lt;=$A659)*Settings!$A$21:$A$25))))</f>
      </c>
      <c r="M659" s="32">
        <f>IF($A659="","",L659*IFERROR(INDEX(Settings!$B$30:$B$36,MATCH($B659,Settings!$A$30:$A$36,0)),0))</f>
      </c>
      <c r="N659" s="32">
        <f t="shared" si="51"/>
      </c>
      <c r="O659" s="33">
        <f t="shared" si="52"/>
      </c>
      <c r="P659" s="32">
        <f t="shared" si="53"/>
      </c>
      <c r="Q659" s="33">
        <f t="shared" si="54"/>
      </c>
    </row>
    <row r="660" spans="1:17" x14ac:dyDescent="0.25">
      <c r="A660" s="22"/>
      <c r="B660" s="5"/>
      <c r="C660" s="5"/>
      <c r="D660" s="5"/>
      <c r="E660" s="5"/>
      <c r="F660" s="5"/>
      <c r="G660" s="5"/>
      <c r="H660" s="23"/>
      <c r="I660" s="23"/>
      <c r="J660" s="5"/>
      <c r="K660" s="31">
        <f t="shared" si="50"/>
      </c>
      <c r="L660" s="32">
        <f>IF($A660="","",C660*SUMIFS(Settings!$B$21:$B$25,Settings!$A$21:$A$25,SUMPRODUCT(MAX((Settings!$A$21:$A$25&lt;=$A660)*Settings!$A$21:$A$25)))+D660*SUMIFS(Settings!$C$21:$C$25,Settings!$A$21:$A$25,SUMPRODUCT(MAX((Settings!$A$21:$A$25&lt;=$A660)*Settings!$A$21:$A$25))))</f>
      </c>
      <c r="M660" s="32">
        <f>IF($A660="","",L660*IFERROR(INDEX(Settings!$B$30:$B$36,MATCH($B660,Settings!$A$30:$A$36,0)),0))</f>
      </c>
      <c r="N660" s="32">
        <f t="shared" si="51"/>
      </c>
      <c r="O660" s="33">
        <f t="shared" si="52"/>
      </c>
      <c r="P660" s="32">
        <f t="shared" si="53"/>
      </c>
      <c r="Q660" s="33">
        <f t="shared" si="54"/>
      </c>
    </row>
    <row r="661" spans="1:17" x14ac:dyDescent="0.25">
      <c r="A661" s="22"/>
      <c r="B661" s="5"/>
      <c r="C661" s="5"/>
      <c r="D661" s="5"/>
      <c r="E661" s="5"/>
      <c r="F661" s="5"/>
      <c r="G661" s="5"/>
      <c r="H661" s="23"/>
      <c r="I661" s="23"/>
      <c r="J661" s="5"/>
      <c r="K661" s="31">
        <f t="shared" si="50"/>
      </c>
      <c r="L661" s="32">
        <f>IF($A661="","",C661*SUMIFS(Settings!$B$21:$B$25,Settings!$A$21:$A$25,SUMPRODUCT(MAX((Settings!$A$21:$A$25&lt;=$A661)*Settings!$A$21:$A$25)))+D661*SUMIFS(Settings!$C$21:$C$25,Settings!$A$21:$A$25,SUMPRODUCT(MAX((Settings!$A$21:$A$25&lt;=$A661)*Settings!$A$21:$A$25))))</f>
      </c>
      <c r="M661" s="32">
        <f>IF($A661="","",L661*IFERROR(INDEX(Settings!$B$30:$B$36,MATCH($B661,Settings!$A$30:$A$36,0)),0))</f>
      </c>
      <c r="N661" s="32">
        <f t="shared" si="51"/>
      </c>
      <c r="O661" s="33">
        <f t="shared" si="52"/>
      </c>
      <c r="P661" s="32">
        <f t="shared" si="53"/>
      </c>
      <c r="Q661" s="33">
        <f t="shared" si="54"/>
      </c>
    </row>
    <row r="662" spans="1:17" x14ac:dyDescent="0.25">
      <c r="A662" s="22"/>
      <c r="B662" s="5"/>
      <c r="C662" s="5"/>
      <c r="D662" s="5"/>
      <c r="E662" s="5"/>
      <c r="F662" s="5"/>
      <c r="G662" s="5"/>
      <c r="H662" s="23"/>
      <c r="I662" s="23"/>
      <c r="J662" s="5"/>
      <c r="K662" s="31">
        <f t="shared" si="50"/>
      </c>
      <c r="L662" s="32">
        <f>IF($A662="","",C662*SUMIFS(Settings!$B$21:$B$25,Settings!$A$21:$A$25,SUMPRODUCT(MAX((Settings!$A$21:$A$25&lt;=$A662)*Settings!$A$21:$A$25)))+D662*SUMIFS(Settings!$C$21:$C$25,Settings!$A$21:$A$25,SUMPRODUCT(MAX((Settings!$A$21:$A$25&lt;=$A662)*Settings!$A$21:$A$25))))</f>
      </c>
      <c r="M662" s="32">
        <f>IF($A662="","",L662*IFERROR(INDEX(Settings!$B$30:$B$36,MATCH($B662,Settings!$A$30:$A$36,0)),0))</f>
      </c>
      <c r="N662" s="32">
        <f t="shared" si="51"/>
      </c>
      <c r="O662" s="33">
        <f t="shared" si="52"/>
      </c>
      <c r="P662" s="32">
        <f t="shared" si="53"/>
      </c>
      <c r="Q662" s="33">
        <f t="shared" si="54"/>
      </c>
    </row>
    <row r="663" spans="1:17" x14ac:dyDescent="0.25">
      <c r="A663" s="22"/>
      <c r="B663" s="5"/>
      <c r="C663" s="5"/>
      <c r="D663" s="5"/>
      <c r="E663" s="5"/>
      <c r="F663" s="5"/>
      <c r="G663" s="5"/>
      <c r="H663" s="23"/>
      <c r="I663" s="23"/>
      <c r="J663" s="5"/>
      <c r="K663" s="31">
        <f t="shared" si="50"/>
      </c>
      <c r="L663" s="32">
        <f>IF($A663="","",C663*SUMIFS(Settings!$B$21:$B$25,Settings!$A$21:$A$25,SUMPRODUCT(MAX((Settings!$A$21:$A$25&lt;=$A663)*Settings!$A$21:$A$25)))+D663*SUMIFS(Settings!$C$21:$C$25,Settings!$A$21:$A$25,SUMPRODUCT(MAX((Settings!$A$21:$A$25&lt;=$A663)*Settings!$A$21:$A$25))))</f>
      </c>
      <c r="M663" s="32">
        <f>IF($A663="","",L663*IFERROR(INDEX(Settings!$B$30:$B$36,MATCH($B663,Settings!$A$30:$A$36,0)),0))</f>
      </c>
      <c r="N663" s="32">
        <f t="shared" si="51"/>
      </c>
      <c r="O663" s="33">
        <f t="shared" si="52"/>
      </c>
      <c r="P663" s="32">
        <f t="shared" si="53"/>
      </c>
      <c r="Q663" s="33">
        <f t="shared" si="54"/>
      </c>
    </row>
    <row r="664" spans="1:17" x14ac:dyDescent="0.25">
      <c r="A664" s="22"/>
      <c r="B664" s="5"/>
      <c r="C664" s="5"/>
      <c r="D664" s="5"/>
      <c r="E664" s="5"/>
      <c r="F664" s="5"/>
      <c r="G664" s="5"/>
      <c r="H664" s="23"/>
      <c r="I664" s="23"/>
      <c r="J664" s="5"/>
      <c r="K664" s="31">
        <f t="shared" si="50"/>
      </c>
      <c r="L664" s="32">
        <f>IF($A664="","",C664*SUMIFS(Settings!$B$21:$B$25,Settings!$A$21:$A$25,SUMPRODUCT(MAX((Settings!$A$21:$A$25&lt;=$A664)*Settings!$A$21:$A$25)))+D664*SUMIFS(Settings!$C$21:$C$25,Settings!$A$21:$A$25,SUMPRODUCT(MAX((Settings!$A$21:$A$25&lt;=$A664)*Settings!$A$21:$A$25))))</f>
      </c>
      <c r="M664" s="32">
        <f>IF($A664="","",L664*IFERROR(INDEX(Settings!$B$30:$B$36,MATCH($B664,Settings!$A$30:$A$36,0)),0))</f>
      </c>
      <c r="N664" s="32">
        <f t="shared" si="51"/>
      </c>
      <c r="O664" s="33">
        <f t="shared" si="52"/>
      </c>
      <c r="P664" s="32">
        <f t="shared" si="53"/>
      </c>
      <c r="Q664" s="33">
        <f t="shared" si="54"/>
      </c>
    </row>
    <row r="665" spans="1:17" x14ac:dyDescent="0.25">
      <c r="A665" s="22"/>
      <c r="B665" s="5"/>
      <c r="C665" s="5"/>
      <c r="D665" s="5"/>
      <c r="E665" s="5"/>
      <c r="F665" s="5"/>
      <c r="G665" s="5"/>
      <c r="H665" s="23"/>
      <c r="I665" s="23"/>
      <c r="J665" s="5"/>
      <c r="K665" s="31">
        <f t="shared" si="50"/>
      </c>
      <c r="L665" s="32">
        <f>IF($A665="","",C665*SUMIFS(Settings!$B$21:$B$25,Settings!$A$21:$A$25,SUMPRODUCT(MAX((Settings!$A$21:$A$25&lt;=$A665)*Settings!$A$21:$A$25)))+D665*SUMIFS(Settings!$C$21:$C$25,Settings!$A$21:$A$25,SUMPRODUCT(MAX((Settings!$A$21:$A$25&lt;=$A665)*Settings!$A$21:$A$25))))</f>
      </c>
      <c r="M665" s="32">
        <f>IF($A665="","",L665*IFERROR(INDEX(Settings!$B$30:$B$36,MATCH($B665,Settings!$A$30:$A$36,0)),0))</f>
      </c>
      <c r="N665" s="32">
        <f t="shared" si="51"/>
      </c>
      <c r="O665" s="33">
        <f t="shared" si="52"/>
      </c>
      <c r="P665" s="32">
        <f t="shared" si="53"/>
      </c>
      <c r="Q665" s="33">
        <f t="shared" si="54"/>
      </c>
    </row>
    <row r="666" spans="1:17" x14ac:dyDescent="0.25">
      <c r="A666" s="22"/>
      <c r="B666" s="5"/>
      <c r="C666" s="5"/>
      <c r="D666" s="5"/>
      <c r="E666" s="5"/>
      <c r="F666" s="5"/>
      <c r="G666" s="5"/>
      <c r="H666" s="23"/>
      <c r="I666" s="23"/>
      <c r="J666" s="5"/>
      <c r="K666" s="31">
        <f t="shared" si="50"/>
      </c>
      <c r="L666" s="32">
        <f>IF($A666="","",C666*SUMIFS(Settings!$B$21:$B$25,Settings!$A$21:$A$25,SUMPRODUCT(MAX((Settings!$A$21:$A$25&lt;=$A666)*Settings!$A$21:$A$25)))+D666*SUMIFS(Settings!$C$21:$C$25,Settings!$A$21:$A$25,SUMPRODUCT(MAX((Settings!$A$21:$A$25&lt;=$A666)*Settings!$A$21:$A$25))))</f>
      </c>
      <c r="M666" s="32">
        <f>IF($A666="","",L666*IFERROR(INDEX(Settings!$B$30:$B$36,MATCH($B666,Settings!$A$30:$A$36,0)),0))</f>
      </c>
      <c r="N666" s="32">
        <f t="shared" si="51"/>
      </c>
      <c r="O666" s="33">
        <f t="shared" si="52"/>
      </c>
      <c r="P666" s="32">
        <f t="shared" si="53"/>
      </c>
      <c r="Q666" s="33">
        <f t="shared" si="54"/>
      </c>
    </row>
    <row r="667" spans="1:17" x14ac:dyDescent="0.25">
      <c r="A667" s="22"/>
      <c r="B667" s="5"/>
      <c r="C667" s="5"/>
      <c r="D667" s="5"/>
      <c r="E667" s="5"/>
      <c r="F667" s="5"/>
      <c r="G667" s="5"/>
      <c r="H667" s="23"/>
      <c r="I667" s="23"/>
      <c r="J667" s="5"/>
      <c r="K667" s="31">
        <f t="shared" si="50"/>
      </c>
      <c r="L667" s="32">
        <f>IF($A667="","",C667*SUMIFS(Settings!$B$21:$B$25,Settings!$A$21:$A$25,SUMPRODUCT(MAX((Settings!$A$21:$A$25&lt;=$A667)*Settings!$A$21:$A$25)))+D667*SUMIFS(Settings!$C$21:$C$25,Settings!$A$21:$A$25,SUMPRODUCT(MAX((Settings!$A$21:$A$25&lt;=$A667)*Settings!$A$21:$A$25))))</f>
      </c>
      <c r="M667" s="32">
        <f>IF($A667="","",L667*IFERROR(INDEX(Settings!$B$30:$B$36,MATCH($B667,Settings!$A$30:$A$36,0)),0))</f>
      </c>
      <c r="N667" s="32">
        <f t="shared" si="51"/>
      </c>
      <c r="O667" s="33">
        <f t="shared" si="52"/>
      </c>
      <c r="P667" s="32">
        <f t="shared" si="53"/>
      </c>
      <c r="Q667" s="33">
        <f t="shared" si="54"/>
      </c>
    </row>
    <row r="668" spans="1:17" x14ac:dyDescent="0.25">
      <c r="A668" s="22"/>
      <c r="B668" s="5"/>
      <c r="C668" s="5"/>
      <c r="D668" s="5"/>
      <c r="E668" s="5"/>
      <c r="F668" s="5"/>
      <c r="G668" s="5"/>
      <c r="H668" s="23"/>
      <c r="I668" s="23"/>
      <c r="J668" s="5"/>
      <c r="K668" s="31">
        <f t="shared" si="50"/>
      </c>
      <c r="L668" s="32">
        <f>IF($A668="","",C668*SUMIFS(Settings!$B$21:$B$25,Settings!$A$21:$A$25,SUMPRODUCT(MAX((Settings!$A$21:$A$25&lt;=$A668)*Settings!$A$21:$A$25)))+D668*SUMIFS(Settings!$C$21:$C$25,Settings!$A$21:$A$25,SUMPRODUCT(MAX((Settings!$A$21:$A$25&lt;=$A668)*Settings!$A$21:$A$25))))</f>
      </c>
      <c r="M668" s="32">
        <f>IF($A668="","",L668*IFERROR(INDEX(Settings!$B$30:$B$36,MATCH($B668,Settings!$A$30:$A$36,0)),0))</f>
      </c>
      <c r="N668" s="32">
        <f t="shared" si="51"/>
      </c>
      <c r="O668" s="33">
        <f t="shared" si="52"/>
      </c>
      <c r="P668" s="32">
        <f t="shared" si="53"/>
      </c>
      <c r="Q668" s="33">
        <f t="shared" si="54"/>
      </c>
    </row>
    <row r="669" spans="1:17" x14ac:dyDescent="0.25">
      <c r="A669" s="22"/>
      <c r="B669" s="5"/>
      <c r="C669" s="5"/>
      <c r="D669" s="5"/>
      <c r="E669" s="5"/>
      <c r="F669" s="5"/>
      <c r="G669" s="5"/>
      <c r="H669" s="23"/>
      <c r="I669" s="23"/>
      <c r="J669" s="5"/>
      <c r="K669" s="31">
        <f t="shared" si="50"/>
      </c>
      <c r="L669" s="32">
        <f>IF($A669="","",C669*SUMIFS(Settings!$B$21:$B$25,Settings!$A$21:$A$25,SUMPRODUCT(MAX((Settings!$A$21:$A$25&lt;=$A669)*Settings!$A$21:$A$25)))+D669*SUMIFS(Settings!$C$21:$C$25,Settings!$A$21:$A$25,SUMPRODUCT(MAX((Settings!$A$21:$A$25&lt;=$A669)*Settings!$A$21:$A$25))))</f>
      </c>
      <c r="M669" s="32">
        <f>IF($A669="","",L669*IFERROR(INDEX(Settings!$B$30:$B$36,MATCH($B669,Settings!$A$30:$A$36,0)),0))</f>
      </c>
      <c r="N669" s="32">
        <f t="shared" si="51"/>
      </c>
      <c r="O669" s="33">
        <f t="shared" si="52"/>
      </c>
      <c r="P669" s="32">
        <f t="shared" si="53"/>
      </c>
      <c r="Q669" s="33">
        <f t="shared" si="54"/>
      </c>
    </row>
    <row r="670" spans="1:17" x14ac:dyDescent="0.25">
      <c r="A670" s="22"/>
      <c r="B670" s="5"/>
      <c r="C670" s="5"/>
      <c r="D670" s="5"/>
      <c r="E670" s="5"/>
      <c r="F670" s="5"/>
      <c r="G670" s="5"/>
      <c r="H670" s="23"/>
      <c r="I670" s="23"/>
      <c r="J670" s="5"/>
      <c r="K670" s="31">
        <f t="shared" si="50"/>
      </c>
      <c r="L670" s="32">
        <f>IF($A670="","",C670*SUMIFS(Settings!$B$21:$B$25,Settings!$A$21:$A$25,SUMPRODUCT(MAX((Settings!$A$21:$A$25&lt;=$A670)*Settings!$A$21:$A$25)))+D670*SUMIFS(Settings!$C$21:$C$25,Settings!$A$21:$A$25,SUMPRODUCT(MAX((Settings!$A$21:$A$25&lt;=$A670)*Settings!$A$21:$A$25))))</f>
      </c>
      <c r="M670" s="32">
        <f>IF($A670="","",L670*IFERROR(INDEX(Settings!$B$30:$B$36,MATCH($B670,Settings!$A$30:$A$36,0)),0))</f>
      </c>
      <c r="N670" s="32">
        <f t="shared" si="51"/>
      </c>
      <c r="O670" s="33">
        <f t="shared" si="52"/>
      </c>
      <c r="P670" s="32">
        <f t="shared" si="53"/>
      </c>
      <c r="Q670" s="33">
        <f t="shared" si="54"/>
      </c>
    </row>
    <row r="671" spans="1:17" x14ac:dyDescent="0.25">
      <c r="A671" s="22"/>
      <c r="B671" s="5"/>
      <c r="C671" s="5"/>
      <c r="D671" s="5"/>
      <c r="E671" s="5"/>
      <c r="F671" s="5"/>
      <c r="G671" s="5"/>
      <c r="H671" s="23"/>
      <c r="I671" s="23"/>
      <c r="J671" s="5"/>
      <c r="K671" s="31">
        <f t="shared" si="50"/>
      </c>
      <c r="L671" s="32">
        <f>IF($A671="","",C671*SUMIFS(Settings!$B$21:$B$25,Settings!$A$21:$A$25,SUMPRODUCT(MAX((Settings!$A$21:$A$25&lt;=$A671)*Settings!$A$21:$A$25)))+D671*SUMIFS(Settings!$C$21:$C$25,Settings!$A$21:$A$25,SUMPRODUCT(MAX((Settings!$A$21:$A$25&lt;=$A671)*Settings!$A$21:$A$25))))</f>
      </c>
      <c r="M671" s="32">
        <f>IF($A671="","",L671*IFERROR(INDEX(Settings!$B$30:$B$36,MATCH($B671,Settings!$A$30:$A$36,0)),0))</f>
      </c>
      <c r="N671" s="32">
        <f t="shared" si="51"/>
      </c>
      <c r="O671" s="33">
        <f t="shared" si="52"/>
      </c>
      <c r="P671" s="32">
        <f t="shared" si="53"/>
      </c>
      <c r="Q671" s="33">
        <f t="shared" si="54"/>
      </c>
    </row>
    <row r="672" spans="1:17" x14ac:dyDescent="0.25">
      <c r="A672" s="22"/>
      <c r="B672" s="5"/>
      <c r="C672" s="5"/>
      <c r="D672" s="5"/>
      <c r="E672" s="5"/>
      <c r="F672" s="5"/>
      <c r="G672" s="5"/>
      <c r="H672" s="23"/>
      <c r="I672" s="23"/>
      <c r="J672" s="5"/>
      <c r="K672" s="31">
        <f t="shared" si="50"/>
      </c>
      <c r="L672" s="32">
        <f>IF($A672="","",C672*SUMIFS(Settings!$B$21:$B$25,Settings!$A$21:$A$25,SUMPRODUCT(MAX((Settings!$A$21:$A$25&lt;=$A672)*Settings!$A$21:$A$25)))+D672*SUMIFS(Settings!$C$21:$C$25,Settings!$A$21:$A$25,SUMPRODUCT(MAX((Settings!$A$21:$A$25&lt;=$A672)*Settings!$A$21:$A$25))))</f>
      </c>
      <c r="M672" s="32">
        <f>IF($A672="","",L672*IFERROR(INDEX(Settings!$B$30:$B$36,MATCH($B672,Settings!$A$30:$A$36,0)),0))</f>
      </c>
      <c r="N672" s="32">
        <f t="shared" si="51"/>
      </c>
      <c r="O672" s="33">
        <f t="shared" si="52"/>
      </c>
      <c r="P672" s="32">
        <f t="shared" si="53"/>
      </c>
      <c r="Q672" s="33">
        <f t="shared" si="54"/>
      </c>
    </row>
    <row r="673" spans="1:17" x14ac:dyDescent="0.25">
      <c r="A673" s="22"/>
      <c r="B673" s="5"/>
      <c r="C673" s="5"/>
      <c r="D673" s="5"/>
      <c r="E673" s="5"/>
      <c r="F673" s="5"/>
      <c r="G673" s="5"/>
      <c r="H673" s="23"/>
      <c r="I673" s="23"/>
      <c r="J673" s="5"/>
      <c r="K673" s="31">
        <f t="shared" si="50"/>
      </c>
      <c r="L673" s="32">
        <f>IF($A673="","",C673*SUMIFS(Settings!$B$21:$B$25,Settings!$A$21:$A$25,SUMPRODUCT(MAX((Settings!$A$21:$A$25&lt;=$A673)*Settings!$A$21:$A$25)))+D673*SUMIFS(Settings!$C$21:$C$25,Settings!$A$21:$A$25,SUMPRODUCT(MAX((Settings!$A$21:$A$25&lt;=$A673)*Settings!$A$21:$A$25))))</f>
      </c>
      <c r="M673" s="32">
        <f>IF($A673="","",L673*IFERROR(INDEX(Settings!$B$30:$B$36,MATCH($B673,Settings!$A$30:$A$36,0)),0))</f>
      </c>
      <c r="N673" s="32">
        <f t="shared" si="51"/>
      </c>
      <c r="O673" s="33">
        <f t="shared" si="52"/>
      </c>
      <c r="P673" s="32">
        <f t="shared" si="53"/>
      </c>
      <c r="Q673" s="33">
        <f t="shared" si="54"/>
      </c>
    </row>
    <row r="674" spans="1:17" x14ac:dyDescent="0.25">
      <c r="A674" s="22"/>
      <c r="B674" s="5"/>
      <c r="C674" s="5"/>
      <c r="D674" s="5"/>
      <c r="E674" s="5"/>
      <c r="F674" s="5"/>
      <c r="G674" s="5"/>
      <c r="H674" s="23"/>
      <c r="I674" s="23"/>
      <c r="J674" s="5"/>
      <c r="K674" s="31">
        <f t="shared" si="50"/>
      </c>
      <c r="L674" s="32">
        <f>IF($A674="","",C674*SUMIFS(Settings!$B$21:$B$25,Settings!$A$21:$A$25,SUMPRODUCT(MAX((Settings!$A$21:$A$25&lt;=$A674)*Settings!$A$21:$A$25)))+D674*SUMIFS(Settings!$C$21:$C$25,Settings!$A$21:$A$25,SUMPRODUCT(MAX((Settings!$A$21:$A$25&lt;=$A674)*Settings!$A$21:$A$25))))</f>
      </c>
      <c r="M674" s="32">
        <f>IF($A674="","",L674*IFERROR(INDEX(Settings!$B$30:$B$36,MATCH($B674,Settings!$A$30:$A$36,0)),0))</f>
      </c>
      <c r="N674" s="32">
        <f t="shared" si="51"/>
      </c>
      <c r="O674" s="33">
        <f t="shared" si="52"/>
      </c>
      <c r="P674" s="32">
        <f t="shared" si="53"/>
      </c>
      <c r="Q674" s="33">
        <f t="shared" si="54"/>
      </c>
    </row>
    <row r="675" spans="1:17" x14ac:dyDescent="0.25">
      <c r="A675" s="22"/>
      <c r="B675" s="5"/>
      <c r="C675" s="5"/>
      <c r="D675" s="5"/>
      <c r="E675" s="5"/>
      <c r="F675" s="5"/>
      <c r="G675" s="5"/>
      <c r="H675" s="23"/>
      <c r="I675" s="23"/>
      <c r="J675" s="5"/>
      <c r="K675" s="31">
        <f t="shared" si="50"/>
      </c>
      <c r="L675" s="32">
        <f>IF($A675="","",C675*SUMIFS(Settings!$B$21:$B$25,Settings!$A$21:$A$25,SUMPRODUCT(MAX((Settings!$A$21:$A$25&lt;=$A675)*Settings!$A$21:$A$25)))+D675*SUMIFS(Settings!$C$21:$C$25,Settings!$A$21:$A$25,SUMPRODUCT(MAX((Settings!$A$21:$A$25&lt;=$A675)*Settings!$A$21:$A$25))))</f>
      </c>
      <c r="M675" s="32">
        <f>IF($A675="","",L675*IFERROR(INDEX(Settings!$B$30:$B$36,MATCH($B675,Settings!$A$30:$A$36,0)),0))</f>
      </c>
      <c r="N675" s="32">
        <f t="shared" si="51"/>
      </c>
      <c r="O675" s="33">
        <f t="shared" si="52"/>
      </c>
      <c r="P675" s="32">
        <f t="shared" si="53"/>
      </c>
      <c r="Q675" s="33">
        <f t="shared" si="54"/>
      </c>
    </row>
    <row r="676" spans="1:17" x14ac:dyDescent="0.25">
      <c r="A676" s="22"/>
      <c r="B676" s="5"/>
      <c r="C676" s="5"/>
      <c r="D676" s="5"/>
      <c r="E676" s="5"/>
      <c r="F676" s="5"/>
      <c r="G676" s="5"/>
      <c r="H676" s="23"/>
      <c r="I676" s="23"/>
      <c r="J676" s="5"/>
      <c r="K676" s="31">
        <f t="shared" si="50"/>
      </c>
      <c r="L676" s="32">
        <f>IF($A676="","",C676*SUMIFS(Settings!$B$21:$B$25,Settings!$A$21:$A$25,SUMPRODUCT(MAX((Settings!$A$21:$A$25&lt;=$A676)*Settings!$A$21:$A$25)))+D676*SUMIFS(Settings!$C$21:$C$25,Settings!$A$21:$A$25,SUMPRODUCT(MAX((Settings!$A$21:$A$25&lt;=$A676)*Settings!$A$21:$A$25))))</f>
      </c>
      <c r="M676" s="32">
        <f>IF($A676="","",L676*IFERROR(INDEX(Settings!$B$30:$B$36,MATCH($B676,Settings!$A$30:$A$36,0)),0))</f>
      </c>
      <c r="N676" s="32">
        <f t="shared" si="51"/>
      </c>
      <c r="O676" s="33">
        <f t="shared" si="52"/>
      </c>
      <c r="P676" s="32">
        <f t="shared" si="53"/>
      </c>
      <c r="Q676" s="33">
        <f t="shared" si="54"/>
      </c>
    </row>
    <row r="677" spans="1:17" x14ac:dyDescent="0.25">
      <c r="A677" s="22"/>
      <c r="B677" s="5"/>
      <c r="C677" s="5"/>
      <c r="D677" s="5"/>
      <c r="E677" s="5"/>
      <c r="F677" s="5"/>
      <c r="G677" s="5"/>
      <c r="H677" s="23"/>
      <c r="I677" s="23"/>
      <c r="J677" s="5"/>
      <c r="K677" s="31">
        <f t="shared" si="50"/>
      </c>
      <c r="L677" s="32">
        <f>IF($A677="","",C677*SUMIFS(Settings!$B$21:$B$25,Settings!$A$21:$A$25,SUMPRODUCT(MAX((Settings!$A$21:$A$25&lt;=$A677)*Settings!$A$21:$A$25)))+D677*SUMIFS(Settings!$C$21:$C$25,Settings!$A$21:$A$25,SUMPRODUCT(MAX((Settings!$A$21:$A$25&lt;=$A677)*Settings!$A$21:$A$25))))</f>
      </c>
      <c r="M677" s="32">
        <f>IF($A677="","",L677*IFERROR(INDEX(Settings!$B$30:$B$36,MATCH($B677,Settings!$A$30:$A$36,0)),0))</f>
      </c>
      <c r="N677" s="32">
        <f t="shared" si="51"/>
      </c>
      <c r="O677" s="33">
        <f t="shared" si="52"/>
      </c>
      <c r="P677" s="32">
        <f t="shared" si="53"/>
      </c>
      <c r="Q677" s="33">
        <f t="shared" si="54"/>
      </c>
    </row>
    <row r="678" spans="1:17" x14ac:dyDescent="0.25">
      <c r="A678" s="22"/>
      <c r="B678" s="5"/>
      <c r="C678" s="5"/>
      <c r="D678" s="5"/>
      <c r="E678" s="5"/>
      <c r="F678" s="5"/>
      <c r="G678" s="5"/>
      <c r="H678" s="23"/>
      <c r="I678" s="23"/>
      <c r="J678" s="5"/>
      <c r="K678" s="31">
        <f t="shared" si="50"/>
      </c>
      <c r="L678" s="32">
        <f>IF($A678="","",C678*SUMIFS(Settings!$B$21:$B$25,Settings!$A$21:$A$25,SUMPRODUCT(MAX((Settings!$A$21:$A$25&lt;=$A678)*Settings!$A$21:$A$25)))+D678*SUMIFS(Settings!$C$21:$C$25,Settings!$A$21:$A$25,SUMPRODUCT(MAX((Settings!$A$21:$A$25&lt;=$A678)*Settings!$A$21:$A$25))))</f>
      </c>
      <c r="M678" s="32">
        <f>IF($A678="","",L678*IFERROR(INDEX(Settings!$B$30:$B$36,MATCH($B678,Settings!$A$30:$A$36,0)),0))</f>
      </c>
      <c r="N678" s="32">
        <f t="shared" si="51"/>
      </c>
      <c r="O678" s="33">
        <f t="shared" si="52"/>
      </c>
      <c r="P678" s="32">
        <f t="shared" si="53"/>
      </c>
      <c r="Q678" s="33">
        <f t="shared" si="54"/>
      </c>
    </row>
    <row r="679" spans="1:17" x14ac:dyDescent="0.25">
      <c r="A679" s="22"/>
      <c r="B679" s="5"/>
      <c r="C679" s="5"/>
      <c r="D679" s="5"/>
      <c r="E679" s="5"/>
      <c r="F679" s="5"/>
      <c r="G679" s="5"/>
      <c r="H679" s="23"/>
      <c r="I679" s="23"/>
      <c r="J679" s="5"/>
      <c r="K679" s="31">
        <f t="shared" si="50"/>
      </c>
      <c r="L679" s="32">
        <f>IF($A679="","",C679*SUMIFS(Settings!$B$21:$B$25,Settings!$A$21:$A$25,SUMPRODUCT(MAX((Settings!$A$21:$A$25&lt;=$A679)*Settings!$A$21:$A$25)))+D679*SUMIFS(Settings!$C$21:$C$25,Settings!$A$21:$A$25,SUMPRODUCT(MAX((Settings!$A$21:$A$25&lt;=$A679)*Settings!$A$21:$A$25))))</f>
      </c>
      <c r="M679" s="32">
        <f>IF($A679="","",L679*IFERROR(INDEX(Settings!$B$30:$B$36,MATCH($B679,Settings!$A$30:$A$36,0)),0))</f>
      </c>
      <c r="N679" s="32">
        <f t="shared" si="51"/>
      </c>
      <c r="O679" s="33">
        <f t="shared" si="52"/>
      </c>
      <c r="P679" s="32">
        <f t="shared" si="53"/>
      </c>
      <c r="Q679" s="33">
        <f t="shared" si="54"/>
      </c>
    </row>
    <row r="680" spans="1:17" x14ac:dyDescent="0.25">
      <c r="A680" s="22"/>
      <c r="B680" s="5"/>
      <c r="C680" s="5"/>
      <c r="D680" s="5"/>
      <c r="E680" s="5"/>
      <c r="F680" s="5"/>
      <c r="G680" s="5"/>
      <c r="H680" s="23"/>
      <c r="I680" s="23"/>
      <c r="J680" s="5"/>
      <c r="K680" s="31">
        <f t="shared" si="50"/>
      </c>
      <c r="L680" s="32">
        <f>IF($A680="","",C680*SUMIFS(Settings!$B$21:$B$25,Settings!$A$21:$A$25,SUMPRODUCT(MAX((Settings!$A$21:$A$25&lt;=$A680)*Settings!$A$21:$A$25)))+D680*SUMIFS(Settings!$C$21:$C$25,Settings!$A$21:$A$25,SUMPRODUCT(MAX((Settings!$A$21:$A$25&lt;=$A680)*Settings!$A$21:$A$25))))</f>
      </c>
      <c r="M680" s="32">
        <f>IF($A680="","",L680*IFERROR(INDEX(Settings!$B$30:$B$36,MATCH($B680,Settings!$A$30:$A$36,0)),0))</f>
      </c>
      <c r="N680" s="32">
        <f t="shared" si="51"/>
      </c>
      <c r="O680" s="33">
        <f t="shared" si="52"/>
      </c>
      <c r="P680" s="32">
        <f t="shared" si="53"/>
      </c>
      <c r="Q680" s="33">
        <f t="shared" si="54"/>
      </c>
    </row>
    <row r="681" spans="1:17" x14ac:dyDescent="0.25">
      <c r="A681" s="22"/>
      <c r="B681" s="5"/>
      <c r="C681" s="5"/>
      <c r="D681" s="5"/>
      <c r="E681" s="5"/>
      <c r="F681" s="5"/>
      <c r="G681" s="5"/>
      <c r="H681" s="23"/>
      <c r="I681" s="23"/>
      <c r="J681" s="5"/>
      <c r="K681" s="31">
        <f t="shared" si="50"/>
      </c>
      <c r="L681" s="32">
        <f>IF($A681="","",C681*SUMIFS(Settings!$B$21:$B$25,Settings!$A$21:$A$25,SUMPRODUCT(MAX((Settings!$A$21:$A$25&lt;=$A681)*Settings!$A$21:$A$25)))+D681*SUMIFS(Settings!$C$21:$C$25,Settings!$A$21:$A$25,SUMPRODUCT(MAX((Settings!$A$21:$A$25&lt;=$A681)*Settings!$A$21:$A$25))))</f>
      </c>
      <c r="M681" s="32">
        <f>IF($A681="","",L681*IFERROR(INDEX(Settings!$B$30:$B$36,MATCH($B681,Settings!$A$30:$A$36,0)),0))</f>
      </c>
      <c r="N681" s="32">
        <f t="shared" si="51"/>
      </c>
      <c r="O681" s="33">
        <f t="shared" si="52"/>
      </c>
      <c r="P681" s="32">
        <f t="shared" si="53"/>
      </c>
      <c r="Q681" s="33">
        <f t="shared" si="54"/>
      </c>
    </row>
    <row r="682" spans="1:17" x14ac:dyDescent="0.25">
      <c r="A682" s="22"/>
      <c r="B682" s="5"/>
      <c r="C682" s="5"/>
      <c r="D682" s="5"/>
      <c r="E682" s="5"/>
      <c r="F682" s="5"/>
      <c r="G682" s="5"/>
      <c r="H682" s="23"/>
      <c r="I682" s="23"/>
      <c r="J682" s="5"/>
      <c r="K682" s="31">
        <f t="shared" si="50"/>
      </c>
      <c r="L682" s="32">
        <f>IF($A682="","",C682*SUMIFS(Settings!$B$21:$B$25,Settings!$A$21:$A$25,SUMPRODUCT(MAX((Settings!$A$21:$A$25&lt;=$A682)*Settings!$A$21:$A$25)))+D682*SUMIFS(Settings!$C$21:$C$25,Settings!$A$21:$A$25,SUMPRODUCT(MAX((Settings!$A$21:$A$25&lt;=$A682)*Settings!$A$21:$A$25))))</f>
      </c>
      <c r="M682" s="32">
        <f>IF($A682="","",L682*IFERROR(INDEX(Settings!$B$30:$B$36,MATCH($B682,Settings!$A$30:$A$36,0)),0))</f>
      </c>
      <c r="N682" s="32">
        <f t="shared" si="51"/>
      </c>
      <c r="O682" s="33">
        <f t="shared" si="52"/>
      </c>
      <c r="P682" s="32">
        <f t="shared" si="53"/>
      </c>
      <c r="Q682" s="33">
        <f t="shared" si="54"/>
      </c>
    </row>
    <row r="683" spans="1:17" x14ac:dyDescent="0.25">
      <c r="A683" s="22"/>
      <c r="B683" s="5"/>
      <c r="C683" s="5"/>
      <c r="D683" s="5"/>
      <c r="E683" s="5"/>
      <c r="F683" s="5"/>
      <c r="G683" s="5"/>
      <c r="H683" s="23"/>
      <c r="I683" s="23"/>
      <c r="J683" s="5"/>
      <c r="K683" s="31">
        <f t="shared" si="50"/>
      </c>
      <c r="L683" s="32">
        <f>IF($A683="","",C683*SUMIFS(Settings!$B$21:$B$25,Settings!$A$21:$A$25,SUMPRODUCT(MAX((Settings!$A$21:$A$25&lt;=$A683)*Settings!$A$21:$A$25)))+D683*SUMIFS(Settings!$C$21:$C$25,Settings!$A$21:$A$25,SUMPRODUCT(MAX((Settings!$A$21:$A$25&lt;=$A683)*Settings!$A$21:$A$25))))</f>
      </c>
      <c r="M683" s="32">
        <f>IF($A683="","",L683*IFERROR(INDEX(Settings!$B$30:$B$36,MATCH($B683,Settings!$A$30:$A$36,0)),0))</f>
      </c>
      <c r="N683" s="32">
        <f t="shared" si="51"/>
      </c>
      <c r="O683" s="33">
        <f t="shared" si="52"/>
      </c>
      <c r="P683" s="32">
        <f t="shared" si="53"/>
      </c>
      <c r="Q683" s="33">
        <f t="shared" si="54"/>
      </c>
    </row>
    <row r="684" spans="1:17" x14ac:dyDescent="0.25">
      <c r="A684" s="22"/>
      <c r="B684" s="5"/>
      <c r="C684" s="5"/>
      <c r="D684" s="5"/>
      <c r="E684" s="5"/>
      <c r="F684" s="5"/>
      <c r="G684" s="5"/>
      <c r="H684" s="23"/>
      <c r="I684" s="23"/>
      <c r="J684" s="5"/>
      <c r="K684" s="31">
        <f t="shared" si="50"/>
      </c>
      <c r="L684" s="32">
        <f>IF($A684="","",C684*SUMIFS(Settings!$B$21:$B$25,Settings!$A$21:$A$25,SUMPRODUCT(MAX((Settings!$A$21:$A$25&lt;=$A684)*Settings!$A$21:$A$25)))+D684*SUMIFS(Settings!$C$21:$C$25,Settings!$A$21:$A$25,SUMPRODUCT(MAX((Settings!$A$21:$A$25&lt;=$A684)*Settings!$A$21:$A$25))))</f>
      </c>
      <c r="M684" s="32">
        <f>IF($A684="","",L684*IFERROR(INDEX(Settings!$B$30:$B$36,MATCH($B684,Settings!$A$30:$A$36,0)),0))</f>
      </c>
      <c r="N684" s="32">
        <f t="shared" si="51"/>
      </c>
      <c r="O684" s="33">
        <f t="shared" si="52"/>
      </c>
      <c r="P684" s="32">
        <f t="shared" si="53"/>
      </c>
      <c r="Q684" s="33">
        <f t="shared" si="54"/>
      </c>
    </row>
    <row r="685" spans="1:17" x14ac:dyDescent="0.25">
      <c r="A685" s="22"/>
      <c r="B685" s="5"/>
      <c r="C685" s="5"/>
      <c r="D685" s="5"/>
      <c r="E685" s="5"/>
      <c r="F685" s="5"/>
      <c r="G685" s="5"/>
      <c r="H685" s="23"/>
      <c r="I685" s="23"/>
      <c r="J685" s="5"/>
      <c r="K685" s="31">
        <f t="shared" si="50"/>
      </c>
      <c r="L685" s="32">
        <f>IF($A685="","",C685*SUMIFS(Settings!$B$21:$B$25,Settings!$A$21:$A$25,SUMPRODUCT(MAX((Settings!$A$21:$A$25&lt;=$A685)*Settings!$A$21:$A$25)))+D685*SUMIFS(Settings!$C$21:$C$25,Settings!$A$21:$A$25,SUMPRODUCT(MAX((Settings!$A$21:$A$25&lt;=$A685)*Settings!$A$21:$A$25))))</f>
      </c>
      <c r="M685" s="32">
        <f>IF($A685="","",L685*IFERROR(INDEX(Settings!$B$30:$B$36,MATCH($B685,Settings!$A$30:$A$36,0)),0))</f>
      </c>
      <c r="N685" s="32">
        <f t="shared" si="51"/>
      </c>
      <c r="O685" s="33">
        <f t="shared" si="52"/>
      </c>
      <c r="P685" s="32">
        <f t="shared" si="53"/>
      </c>
      <c r="Q685" s="33">
        <f t="shared" si="54"/>
      </c>
    </row>
    <row r="686" spans="1:17" x14ac:dyDescent="0.25">
      <c r="A686" s="22"/>
      <c r="B686" s="5"/>
      <c r="C686" s="5"/>
      <c r="D686" s="5"/>
      <c r="E686" s="5"/>
      <c r="F686" s="5"/>
      <c r="G686" s="5"/>
      <c r="H686" s="23"/>
      <c r="I686" s="23"/>
      <c r="J686" s="5"/>
      <c r="K686" s="31">
        <f t="shared" si="50"/>
      </c>
      <c r="L686" s="32">
        <f>IF($A686="","",C686*SUMIFS(Settings!$B$21:$B$25,Settings!$A$21:$A$25,SUMPRODUCT(MAX((Settings!$A$21:$A$25&lt;=$A686)*Settings!$A$21:$A$25)))+D686*SUMIFS(Settings!$C$21:$C$25,Settings!$A$21:$A$25,SUMPRODUCT(MAX((Settings!$A$21:$A$25&lt;=$A686)*Settings!$A$21:$A$25))))</f>
      </c>
      <c r="M686" s="32">
        <f>IF($A686="","",L686*IFERROR(INDEX(Settings!$B$30:$B$36,MATCH($B686,Settings!$A$30:$A$36,0)),0))</f>
      </c>
      <c r="N686" s="32">
        <f t="shared" si="51"/>
      </c>
      <c r="O686" s="33">
        <f t="shared" si="52"/>
      </c>
      <c r="P686" s="32">
        <f t="shared" si="53"/>
      </c>
      <c r="Q686" s="33">
        <f t="shared" si="54"/>
      </c>
    </row>
    <row r="687" spans="1:17" x14ac:dyDescent="0.25">
      <c r="A687" s="22"/>
      <c r="B687" s="5"/>
      <c r="C687" s="5"/>
      <c r="D687" s="5"/>
      <c r="E687" s="5"/>
      <c r="F687" s="5"/>
      <c r="G687" s="5"/>
      <c r="H687" s="23"/>
      <c r="I687" s="23"/>
      <c r="J687" s="5"/>
      <c r="K687" s="31">
        <f t="shared" si="50"/>
      </c>
      <c r="L687" s="32">
        <f>IF($A687="","",C687*SUMIFS(Settings!$B$21:$B$25,Settings!$A$21:$A$25,SUMPRODUCT(MAX((Settings!$A$21:$A$25&lt;=$A687)*Settings!$A$21:$A$25)))+D687*SUMIFS(Settings!$C$21:$C$25,Settings!$A$21:$A$25,SUMPRODUCT(MAX((Settings!$A$21:$A$25&lt;=$A687)*Settings!$A$21:$A$25))))</f>
      </c>
      <c r="M687" s="32">
        <f>IF($A687="","",L687*IFERROR(INDEX(Settings!$B$30:$B$36,MATCH($B687,Settings!$A$30:$A$36,0)),0))</f>
      </c>
      <c r="N687" s="32">
        <f t="shared" si="51"/>
      </c>
      <c r="O687" s="33">
        <f t="shared" si="52"/>
      </c>
      <c r="P687" s="32">
        <f t="shared" si="53"/>
      </c>
      <c r="Q687" s="33">
        <f t="shared" si="54"/>
      </c>
    </row>
    <row r="688" spans="1:17" x14ac:dyDescent="0.25">
      <c r="A688" s="22"/>
      <c r="B688" s="5"/>
      <c r="C688" s="5"/>
      <c r="D688" s="5"/>
      <c r="E688" s="5"/>
      <c r="F688" s="5"/>
      <c r="G688" s="5"/>
      <c r="H688" s="23"/>
      <c r="I688" s="23"/>
      <c r="J688" s="5"/>
      <c r="K688" s="31">
        <f t="shared" si="50"/>
      </c>
      <c r="L688" s="32">
        <f>IF($A688="","",C688*SUMIFS(Settings!$B$21:$B$25,Settings!$A$21:$A$25,SUMPRODUCT(MAX((Settings!$A$21:$A$25&lt;=$A688)*Settings!$A$21:$A$25)))+D688*SUMIFS(Settings!$C$21:$C$25,Settings!$A$21:$A$25,SUMPRODUCT(MAX((Settings!$A$21:$A$25&lt;=$A688)*Settings!$A$21:$A$25))))</f>
      </c>
      <c r="M688" s="32">
        <f>IF($A688="","",L688*IFERROR(INDEX(Settings!$B$30:$B$36,MATCH($B688,Settings!$A$30:$A$36,0)),0))</f>
      </c>
      <c r="N688" s="32">
        <f t="shared" si="51"/>
      </c>
      <c r="O688" s="33">
        <f t="shared" si="52"/>
      </c>
      <c r="P688" s="32">
        <f t="shared" si="53"/>
      </c>
      <c r="Q688" s="33">
        <f t="shared" si="54"/>
      </c>
    </row>
    <row r="689" spans="1:17" x14ac:dyDescent="0.25">
      <c r="A689" s="22"/>
      <c r="B689" s="5"/>
      <c r="C689" s="5"/>
      <c r="D689" s="5"/>
      <c r="E689" s="5"/>
      <c r="F689" s="5"/>
      <c r="G689" s="5"/>
      <c r="H689" s="23"/>
      <c r="I689" s="23"/>
      <c r="J689" s="5"/>
      <c r="K689" s="31">
        <f t="shared" si="50"/>
      </c>
      <c r="L689" s="32">
        <f>IF($A689="","",C689*SUMIFS(Settings!$B$21:$B$25,Settings!$A$21:$A$25,SUMPRODUCT(MAX((Settings!$A$21:$A$25&lt;=$A689)*Settings!$A$21:$A$25)))+D689*SUMIFS(Settings!$C$21:$C$25,Settings!$A$21:$A$25,SUMPRODUCT(MAX((Settings!$A$21:$A$25&lt;=$A689)*Settings!$A$21:$A$25))))</f>
      </c>
      <c r="M689" s="32">
        <f>IF($A689="","",L689*IFERROR(INDEX(Settings!$B$30:$B$36,MATCH($B689,Settings!$A$30:$A$36,0)),0))</f>
      </c>
      <c r="N689" s="32">
        <f t="shared" si="51"/>
      </c>
      <c r="O689" s="33">
        <f t="shared" si="52"/>
      </c>
      <c r="P689" s="32">
        <f t="shared" si="53"/>
      </c>
      <c r="Q689" s="33">
        <f t="shared" si="54"/>
      </c>
    </row>
    <row r="690" spans="1:17" x14ac:dyDescent="0.25">
      <c r="A690" s="22"/>
      <c r="B690" s="5"/>
      <c r="C690" s="5"/>
      <c r="D690" s="5"/>
      <c r="E690" s="5"/>
      <c r="F690" s="5"/>
      <c r="G690" s="5"/>
      <c r="H690" s="23"/>
      <c r="I690" s="23"/>
      <c r="J690" s="5"/>
      <c r="K690" s="31">
        <f t="shared" si="50"/>
      </c>
      <c r="L690" s="32">
        <f>IF($A690="","",C690*SUMIFS(Settings!$B$21:$B$25,Settings!$A$21:$A$25,SUMPRODUCT(MAX((Settings!$A$21:$A$25&lt;=$A690)*Settings!$A$21:$A$25)))+D690*SUMIFS(Settings!$C$21:$C$25,Settings!$A$21:$A$25,SUMPRODUCT(MAX((Settings!$A$21:$A$25&lt;=$A690)*Settings!$A$21:$A$25))))</f>
      </c>
      <c r="M690" s="32">
        <f>IF($A690="","",L690*IFERROR(INDEX(Settings!$B$30:$B$36,MATCH($B690,Settings!$A$30:$A$36,0)),0))</f>
      </c>
      <c r="N690" s="32">
        <f t="shared" si="51"/>
      </c>
      <c r="O690" s="33">
        <f t="shared" si="52"/>
      </c>
      <c r="P690" s="32">
        <f t="shared" si="53"/>
      </c>
      <c r="Q690" s="33">
        <f t="shared" si="54"/>
      </c>
    </row>
    <row r="691" spans="1:17" x14ac:dyDescent="0.25">
      <c r="A691" s="22"/>
      <c r="B691" s="5"/>
      <c r="C691" s="5"/>
      <c r="D691" s="5"/>
      <c r="E691" s="5"/>
      <c r="F691" s="5"/>
      <c r="G691" s="5"/>
      <c r="H691" s="23"/>
      <c r="I691" s="23"/>
      <c r="J691" s="5"/>
      <c r="K691" s="31">
        <f t="shared" si="50"/>
      </c>
      <c r="L691" s="32">
        <f>IF($A691="","",C691*SUMIFS(Settings!$B$21:$B$25,Settings!$A$21:$A$25,SUMPRODUCT(MAX((Settings!$A$21:$A$25&lt;=$A691)*Settings!$A$21:$A$25)))+D691*SUMIFS(Settings!$C$21:$C$25,Settings!$A$21:$A$25,SUMPRODUCT(MAX((Settings!$A$21:$A$25&lt;=$A691)*Settings!$A$21:$A$25))))</f>
      </c>
      <c r="M691" s="32">
        <f>IF($A691="","",L691*IFERROR(INDEX(Settings!$B$30:$B$36,MATCH($B691,Settings!$A$30:$A$36,0)),0))</f>
      </c>
      <c r="N691" s="32">
        <f t="shared" si="51"/>
      </c>
      <c r="O691" s="33">
        <f t="shared" si="52"/>
      </c>
      <c r="P691" s="32">
        <f t="shared" si="53"/>
      </c>
      <c r="Q691" s="33">
        <f t="shared" si="54"/>
      </c>
    </row>
    <row r="692" spans="1:17" x14ac:dyDescent="0.25">
      <c r="A692" s="22"/>
      <c r="B692" s="5"/>
      <c r="C692" s="5"/>
      <c r="D692" s="5"/>
      <c r="E692" s="5"/>
      <c r="F692" s="5"/>
      <c r="G692" s="5"/>
      <c r="H692" s="23"/>
      <c r="I692" s="23"/>
      <c r="J692" s="5"/>
      <c r="K692" s="31">
        <f t="shared" si="50"/>
      </c>
      <c r="L692" s="32">
        <f>IF($A692="","",C692*SUMIFS(Settings!$B$21:$B$25,Settings!$A$21:$A$25,SUMPRODUCT(MAX((Settings!$A$21:$A$25&lt;=$A692)*Settings!$A$21:$A$25)))+D692*SUMIFS(Settings!$C$21:$C$25,Settings!$A$21:$A$25,SUMPRODUCT(MAX((Settings!$A$21:$A$25&lt;=$A692)*Settings!$A$21:$A$25))))</f>
      </c>
      <c r="M692" s="32">
        <f>IF($A692="","",L692*IFERROR(INDEX(Settings!$B$30:$B$36,MATCH($B692,Settings!$A$30:$A$36,0)),0))</f>
      </c>
      <c r="N692" s="32">
        <f t="shared" si="51"/>
      </c>
      <c r="O692" s="33">
        <f t="shared" si="52"/>
      </c>
      <c r="P692" s="32">
        <f t="shared" si="53"/>
      </c>
      <c r="Q692" s="33">
        <f t="shared" si="54"/>
      </c>
    </row>
    <row r="693" spans="1:17" x14ac:dyDescent="0.25">
      <c r="A693" s="22"/>
      <c r="B693" s="5"/>
      <c r="C693" s="5"/>
      <c r="D693" s="5"/>
      <c r="E693" s="5"/>
      <c r="F693" s="5"/>
      <c r="G693" s="5"/>
      <c r="H693" s="23"/>
      <c r="I693" s="23"/>
      <c r="J693" s="5"/>
      <c r="K693" s="31">
        <f t="shared" si="50"/>
      </c>
      <c r="L693" s="32">
        <f>IF($A693="","",C693*SUMIFS(Settings!$B$21:$B$25,Settings!$A$21:$A$25,SUMPRODUCT(MAX((Settings!$A$21:$A$25&lt;=$A693)*Settings!$A$21:$A$25)))+D693*SUMIFS(Settings!$C$21:$C$25,Settings!$A$21:$A$25,SUMPRODUCT(MAX((Settings!$A$21:$A$25&lt;=$A693)*Settings!$A$21:$A$25))))</f>
      </c>
      <c r="M693" s="32">
        <f>IF($A693="","",L693*IFERROR(INDEX(Settings!$B$30:$B$36,MATCH($B693,Settings!$A$30:$A$36,0)),0))</f>
      </c>
      <c r="N693" s="32">
        <f t="shared" si="51"/>
      </c>
      <c r="O693" s="33">
        <f t="shared" si="52"/>
      </c>
      <c r="P693" s="32">
        <f t="shared" si="53"/>
      </c>
      <c r="Q693" s="33">
        <f t="shared" si="54"/>
      </c>
    </row>
    <row r="694" spans="1:17" x14ac:dyDescent="0.25">
      <c r="A694" s="22"/>
      <c r="B694" s="5"/>
      <c r="C694" s="5"/>
      <c r="D694" s="5"/>
      <c r="E694" s="5"/>
      <c r="F694" s="5"/>
      <c r="G694" s="5"/>
      <c r="H694" s="23"/>
      <c r="I694" s="23"/>
      <c r="J694" s="5"/>
      <c r="K694" s="31">
        <f t="shared" si="50"/>
      </c>
      <c r="L694" s="32">
        <f>IF($A694="","",C694*SUMIFS(Settings!$B$21:$B$25,Settings!$A$21:$A$25,SUMPRODUCT(MAX((Settings!$A$21:$A$25&lt;=$A694)*Settings!$A$21:$A$25)))+D694*SUMIFS(Settings!$C$21:$C$25,Settings!$A$21:$A$25,SUMPRODUCT(MAX((Settings!$A$21:$A$25&lt;=$A694)*Settings!$A$21:$A$25))))</f>
      </c>
      <c r="M694" s="32">
        <f>IF($A694="","",L694*IFERROR(INDEX(Settings!$B$30:$B$36,MATCH($B694,Settings!$A$30:$A$36,0)),0))</f>
      </c>
      <c r="N694" s="32">
        <f t="shared" si="51"/>
      </c>
      <c r="O694" s="33">
        <f t="shared" si="52"/>
      </c>
      <c r="P694" s="32">
        <f t="shared" si="53"/>
      </c>
      <c r="Q694" s="33">
        <f t="shared" si="54"/>
      </c>
    </row>
    <row r="695" spans="1:17" x14ac:dyDescent="0.25">
      <c r="A695" s="22"/>
      <c r="B695" s="5"/>
      <c r="C695" s="5"/>
      <c r="D695" s="5"/>
      <c r="E695" s="5"/>
      <c r="F695" s="5"/>
      <c r="G695" s="5"/>
      <c r="H695" s="23"/>
      <c r="I695" s="23"/>
      <c r="J695" s="5"/>
      <c r="K695" s="31">
        <f t="shared" si="50"/>
      </c>
      <c r="L695" s="32">
        <f>IF($A695="","",C695*SUMIFS(Settings!$B$21:$B$25,Settings!$A$21:$A$25,SUMPRODUCT(MAX((Settings!$A$21:$A$25&lt;=$A695)*Settings!$A$21:$A$25)))+D695*SUMIFS(Settings!$C$21:$C$25,Settings!$A$21:$A$25,SUMPRODUCT(MAX((Settings!$A$21:$A$25&lt;=$A695)*Settings!$A$21:$A$25))))</f>
      </c>
      <c r="M695" s="32">
        <f>IF($A695="","",L695*IFERROR(INDEX(Settings!$B$30:$B$36,MATCH($B695,Settings!$A$30:$A$36,0)),0))</f>
      </c>
      <c r="N695" s="32">
        <f t="shared" si="51"/>
      </c>
      <c r="O695" s="33">
        <f t="shared" si="52"/>
      </c>
      <c r="P695" s="32">
        <f t="shared" si="53"/>
      </c>
      <c r="Q695" s="33">
        <f t="shared" si="54"/>
      </c>
    </row>
    <row r="696" spans="1:17" x14ac:dyDescent="0.25">
      <c r="A696" s="22"/>
      <c r="B696" s="5"/>
      <c r="C696" s="5"/>
      <c r="D696" s="5"/>
      <c r="E696" s="5"/>
      <c r="F696" s="5"/>
      <c r="G696" s="5"/>
      <c r="H696" s="23"/>
      <c r="I696" s="23"/>
      <c r="J696" s="5"/>
      <c r="K696" s="31">
        <f t="shared" si="50"/>
      </c>
      <c r="L696" s="32">
        <f>IF($A696="","",C696*SUMIFS(Settings!$B$21:$B$25,Settings!$A$21:$A$25,SUMPRODUCT(MAX((Settings!$A$21:$A$25&lt;=$A696)*Settings!$A$21:$A$25)))+D696*SUMIFS(Settings!$C$21:$C$25,Settings!$A$21:$A$25,SUMPRODUCT(MAX((Settings!$A$21:$A$25&lt;=$A696)*Settings!$A$21:$A$25))))</f>
      </c>
      <c r="M696" s="32">
        <f>IF($A696="","",L696*IFERROR(INDEX(Settings!$B$30:$B$36,MATCH($B696,Settings!$A$30:$A$36,0)),0))</f>
      </c>
      <c r="N696" s="32">
        <f t="shared" si="51"/>
      </c>
      <c r="O696" s="33">
        <f t="shared" si="52"/>
      </c>
      <c r="P696" s="32">
        <f t="shared" si="53"/>
      </c>
      <c r="Q696" s="33">
        <f t="shared" si="54"/>
      </c>
    </row>
    <row r="697" spans="1:17" x14ac:dyDescent="0.25">
      <c r="A697" s="22"/>
      <c r="B697" s="5"/>
      <c r="C697" s="5"/>
      <c r="D697" s="5"/>
      <c r="E697" s="5"/>
      <c r="F697" s="5"/>
      <c r="G697" s="5"/>
      <c r="H697" s="23"/>
      <c r="I697" s="23"/>
      <c r="J697" s="5"/>
      <c r="K697" s="31">
        <f t="shared" si="50"/>
      </c>
      <c r="L697" s="32">
        <f>IF($A697="","",C697*SUMIFS(Settings!$B$21:$B$25,Settings!$A$21:$A$25,SUMPRODUCT(MAX((Settings!$A$21:$A$25&lt;=$A697)*Settings!$A$21:$A$25)))+D697*SUMIFS(Settings!$C$21:$C$25,Settings!$A$21:$A$25,SUMPRODUCT(MAX((Settings!$A$21:$A$25&lt;=$A697)*Settings!$A$21:$A$25))))</f>
      </c>
      <c r="M697" s="32">
        <f>IF($A697="","",L697*IFERROR(INDEX(Settings!$B$30:$B$36,MATCH($B697,Settings!$A$30:$A$36,0)),0))</f>
      </c>
      <c r="N697" s="32">
        <f t="shared" si="51"/>
      </c>
      <c r="O697" s="33">
        <f t="shared" si="52"/>
      </c>
      <c r="P697" s="32">
        <f t="shared" si="53"/>
      </c>
      <c r="Q697" s="33">
        <f t="shared" si="54"/>
      </c>
    </row>
    <row r="698" spans="1:17" x14ac:dyDescent="0.25">
      <c r="A698" s="22"/>
      <c r="B698" s="5"/>
      <c r="C698" s="5"/>
      <c r="D698" s="5"/>
      <c r="E698" s="5"/>
      <c r="F698" s="5"/>
      <c r="G698" s="5"/>
      <c r="H698" s="23"/>
      <c r="I698" s="23"/>
      <c r="J698" s="5"/>
      <c r="K698" s="31">
        <f t="shared" si="50"/>
      </c>
      <c r="L698" s="32">
        <f>IF($A698="","",C698*SUMIFS(Settings!$B$21:$B$25,Settings!$A$21:$A$25,SUMPRODUCT(MAX((Settings!$A$21:$A$25&lt;=$A698)*Settings!$A$21:$A$25)))+D698*SUMIFS(Settings!$C$21:$C$25,Settings!$A$21:$A$25,SUMPRODUCT(MAX((Settings!$A$21:$A$25&lt;=$A698)*Settings!$A$21:$A$25))))</f>
      </c>
      <c r="M698" s="32">
        <f>IF($A698="","",L698*IFERROR(INDEX(Settings!$B$30:$B$36,MATCH($B698,Settings!$A$30:$A$36,0)),0))</f>
      </c>
      <c r="N698" s="32">
        <f t="shared" si="51"/>
      </c>
      <c r="O698" s="33">
        <f t="shared" si="52"/>
      </c>
      <c r="P698" s="32">
        <f t="shared" si="53"/>
      </c>
      <c r="Q698" s="33">
        <f t="shared" si="54"/>
      </c>
    </row>
    <row r="699" spans="1:17" x14ac:dyDescent="0.25">
      <c r="A699" s="22"/>
      <c r="B699" s="5"/>
      <c r="C699" s="5"/>
      <c r="D699" s="5"/>
      <c r="E699" s="5"/>
      <c r="F699" s="5"/>
      <c r="G699" s="5"/>
      <c r="H699" s="23"/>
      <c r="I699" s="23"/>
      <c r="J699" s="5"/>
      <c r="K699" s="31">
        <f t="shared" si="50"/>
      </c>
      <c r="L699" s="32">
        <f>IF($A699="","",C699*SUMIFS(Settings!$B$21:$B$25,Settings!$A$21:$A$25,SUMPRODUCT(MAX((Settings!$A$21:$A$25&lt;=$A699)*Settings!$A$21:$A$25)))+D699*SUMIFS(Settings!$C$21:$C$25,Settings!$A$21:$A$25,SUMPRODUCT(MAX((Settings!$A$21:$A$25&lt;=$A699)*Settings!$A$21:$A$25))))</f>
      </c>
      <c r="M699" s="32">
        <f>IF($A699="","",L699*IFERROR(INDEX(Settings!$B$30:$B$36,MATCH($B699,Settings!$A$30:$A$36,0)),0))</f>
      </c>
      <c r="N699" s="32">
        <f t="shared" si="51"/>
      </c>
      <c r="O699" s="33">
        <f t="shared" si="52"/>
      </c>
      <c r="P699" s="32">
        <f t="shared" si="53"/>
      </c>
      <c r="Q699" s="33">
        <f t="shared" si="54"/>
      </c>
    </row>
    <row r="700" spans="1:17" x14ac:dyDescent="0.25">
      <c r="A700" s="22"/>
      <c r="B700" s="5"/>
      <c r="C700" s="5"/>
      <c r="D700" s="5"/>
      <c r="E700" s="5"/>
      <c r="F700" s="5"/>
      <c r="G700" s="5"/>
      <c r="H700" s="23"/>
      <c r="I700" s="23"/>
      <c r="J700" s="5"/>
      <c r="K700" s="31">
        <f t="shared" si="50"/>
      </c>
      <c r="L700" s="32">
        <f>IF($A700="","",C700*SUMIFS(Settings!$B$21:$B$25,Settings!$A$21:$A$25,SUMPRODUCT(MAX((Settings!$A$21:$A$25&lt;=$A700)*Settings!$A$21:$A$25)))+D700*SUMIFS(Settings!$C$21:$C$25,Settings!$A$21:$A$25,SUMPRODUCT(MAX((Settings!$A$21:$A$25&lt;=$A700)*Settings!$A$21:$A$25))))</f>
      </c>
      <c r="M700" s="32">
        <f>IF($A700="","",L700*IFERROR(INDEX(Settings!$B$30:$B$36,MATCH($B700,Settings!$A$30:$A$36,0)),0))</f>
      </c>
      <c r="N700" s="32">
        <f t="shared" si="51"/>
      </c>
      <c r="O700" s="33">
        <f t="shared" si="52"/>
      </c>
      <c r="P700" s="32">
        <f t="shared" si="53"/>
      </c>
      <c r="Q700" s="33">
        <f t="shared" si="54"/>
      </c>
    </row>
    <row r="701" spans="1:17" x14ac:dyDescent="0.25">
      <c r="A701" s="22"/>
      <c r="B701" s="5"/>
      <c r="C701" s="5"/>
      <c r="D701" s="5"/>
      <c r="E701" s="5"/>
      <c r="F701" s="5"/>
      <c r="G701" s="5"/>
      <c r="H701" s="23"/>
      <c r="I701" s="23"/>
      <c r="J701" s="5"/>
      <c r="K701" s="31">
        <f t="shared" si="50"/>
      </c>
      <c r="L701" s="32">
        <f>IF($A701="","",C701*SUMIFS(Settings!$B$21:$B$25,Settings!$A$21:$A$25,SUMPRODUCT(MAX((Settings!$A$21:$A$25&lt;=$A701)*Settings!$A$21:$A$25)))+D701*SUMIFS(Settings!$C$21:$C$25,Settings!$A$21:$A$25,SUMPRODUCT(MAX((Settings!$A$21:$A$25&lt;=$A701)*Settings!$A$21:$A$25))))</f>
      </c>
      <c r="M701" s="32">
        <f>IF($A701="","",L701*IFERROR(INDEX(Settings!$B$30:$B$36,MATCH($B701,Settings!$A$30:$A$36,0)),0))</f>
      </c>
      <c r="N701" s="32">
        <f t="shared" si="51"/>
      </c>
      <c r="O701" s="33">
        <f t="shared" si="52"/>
      </c>
      <c r="P701" s="32">
        <f t="shared" si="53"/>
      </c>
      <c r="Q701" s="33">
        <f t="shared" si="54"/>
      </c>
    </row>
    <row r="702" spans="1:17" x14ac:dyDescent="0.25">
      <c r="A702" s="22"/>
      <c r="B702" s="5"/>
      <c r="C702" s="5"/>
      <c r="D702" s="5"/>
      <c r="E702" s="5"/>
      <c r="F702" s="5"/>
      <c r="G702" s="5"/>
      <c r="H702" s="23"/>
      <c r="I702" s="23"/>
      <c r="J702" s="5"/>
      <c r="K702" s="31">
        <f t="shared" si="50"/>
      </c>
      <c r="L702" s="32">
        <f>IF($A702="","",C702*SUMIFS(Settings!$B$21:$B$25,Settings!$A$21:$A$25,SUMPRODUCT(MAX((Settings!$A$21:$A$25&lt;=$A702)*Settings!$A$21:$A$25)))+D702*SUMIFS(Settings!$C$21:$C$25,Settings!$A$21:$A$25,SUMPRODUCT(MAX((Settings!$A$21:$A$25&lt;=$A702)*Settings!$A$21:$A$25))))</f>
      </c>
      <c r="M702" s="32">
        <f>IF($A702="","",L702*IFERROR(INDEX(Settings!$B$30:$B$36,MATCH($B702,Settings!$A$30:$A$36,0)),0))</f>
      </c>
      <c r="N702" s="32">
        <f t="shared" si="51"/>
      </c>
      <c r="O702" s="33">
        <f t="shared" si="52"/>
      </c>
      <c r="P702" s="32">
        <f t="shared" si="53"/>
      </c>
      <c r="Q702" s="33">
        <f t="shared" si="54"/>
      </c>
    </row>
    <row r="703" spans="1:17" x14ac:dyDescent="0.25">
      <c r="A703" s="22"/>
      <c r="B703" s="5"/>
      <c r="C703" s="5"/>
      <c r="D703" s="5"/>
      <c r="E703" s="5"/>
      <c r="F703" s="5"/>
      <c r="G703" s="5"/>
      <c r="H703" s="23"/>
      <c r="I703" s="23"/>
      <c r="J703" s="5"/>
      <c r="K703" s="31">
        <f t="shared" si="50"/>
      </c>
      <c r="L703" s="32">
        <f>IF($A703="","",C703*SUMIFS(Settings!$B$21:$B$25,Settings!$A$21:$A$25,SUMPRODUCT(MAX((Settings!$A$21:$A$25&lt;=$A703)*Settings!$A$21:$A$25)))+D703*SUMIFS(Settings!$C$21:$C$25,Settings!$A$21:$A$25,SUMPRODUCT(MAX((Settings!$A$21:$A$25&lt;=$A703)*Settings!$A$21:$A$25))))</f>
      </c>
      <c r="M703" s="32">
        <f>IF($A703="","",L703*IFERROR(INDEX(Settings!$B$30:$B$36,MATCH($B703,Settings!$A$30:$A$36,0)),0))</f>
      </c>
      <c r="N703" s="32">
        <f t="shared" si="51"/>
      </c>
      <c r="O703" s="33">
        <f t="shared" si="52"/>
      </c>
      <c r="P703" s="32">
        <f t="shared" si="53"/>
      </c>
      <c r="Q703" s="33">
        <f t="shared" si="54"/>
      </c>
    </row>
    <row r="704" spans="1:17" x14ac:dyDescent="0.25">
      <c r="A704" s="22"/>
      <c r="B704" s="5"/>
      <c r="C704" s="5"/>
      <c r="D704" s="5"/>
      <c r="E704" s="5"/>
      <c r="F704" s="5"/>
      <c r="G704" s="5"/>
      <c r="H704" s="23"/>
      <c r="I704" s="23"/>
      <c r="J704" s="5"/>
      <c r="K704" s="31">
        <f t="shared" si="50"/>
      </c>
      <c r="L704" s="32">
        <f>IF($A704="","",C704*SUMIFS(Settings!$B$21:$B$25,Settings!$A$21:$A$25,SUMPRODUCT(MAX((Settings!$A$21:$A$25&lt;=$A704)*Settings!$A$21:$A$25)))+D704*SUMIFS(Settings!$C$21:$C$25,Settings!$A$21:$A$25,SUMPRODUCT(MAX((Settings!$A$21:$A$25&lt;=$A704)*Settings!$A$21:$A$25))))</f>
      </c>
      <c r="M704" s="32">
        <f>IF($A704="","",L704*IFERROR(INDEX(Settings!$B$30:$B$36,MATCH($B704,Settings!$A$30:$A$36,0)),0))</f>
      </c>
      <c r="N704" s="32">
        <f t="shared" si="51"/>
      </c>
      <c r="O704" s="33">
        <f t="shared" si="52"/>
      </c>
      <c r="P704" s="32">
        <f t="shared" si="53"/>
      </c>
      <c r="Q704" s="33">
        <f t="shared" si="54"/>
      </c>
    </row>
    <row r="705" spans="1:17" x14ac:dyDescent="0.25">
      <c r="A705" s="22"/>
      <c r="B705" s="5"/>
      <c r="C705" s="5"/>
      <c r="D705" s="5"/>
      <c r="E705" s="5"/>
      <c r="F705" s="5"/>
      <c r="G705" s="5"/>
      <c r="H705" s="23"/>
      <c r="I705" s="23"/>
      <c r="J705" s="5"/>
      <c r="K705" s="31">
        <f t="shared" si="50"/>
      </c>
      <c r="L705" s="32">
        <f>IF($A705="","",C705*SUMIFS(Settings!$B$21:$B$25,Settings!$A$21:$A$25,SUMPRODUCT(MAX((Settings!$A$21:$A$25&lt;=$A705)*Settings!$A$21:$A$25)))+D705*SUMIFS(Settings!$C$21:$C$25,Settings!$A$21:$A$25,SUMPRODUCT(MAX((Settings!$A$21:$A$25&lt;=$A705)*Settings!$A$21:$A$25))))</f>
      </c>
      <c r="M705" s="32">
        <f>IF($A705="","",L705*IFERROR(INDEX(Settings!$B$30:$B$36,MATCH($B705,Settings!$A$30:$A$36,0)),0))</f>
      </c>
      <c r="N705" s="32">
        <f t="shared" si="51"/>
      </c>
      <c r="O705" s="33">
        <f t="shared" si="52"/>
      </c>
      <c r="P705" s="32">
        <f t="shared" si="53"/>
      </c>
      <c r="Q705" s="33">
        <f t="shared" si="54"/>
      </c>
    </row>
    <row r="706" spans="1:17" x14ac:dyDescent="0.25">
      <c r="A706" s="22"/>
      <c r="B706" s="5"/>
      <c r="C706" s="5"/>
      <c r="D706" s="5"/>
      <c r="E706" s="5"/>
      <c r="F706" s="5"/>
      <c r="G706" s="5"/>
      <c r="H706" s="23"/>
      <c r="I706" s="23"/>
      <c r="J706" s="5"/>
      <c r="K706" s="31">
        <f t="shared" si="50"/>
      </c>
      <c r="L706" s="32">
        <f>IF($A706="","",C706*SUMIFS(Settings!$B$21:$B$25,Settings!$A$21:$A$25,SUMPRODUCT(MAX((Settings!$A$21:$A$25&lt;=$A706)*Settings!$A$21:$A$25)))+D706*SUMIFS(Settings!$C$21:$C$25,Settings!$A$21:$A$25,SUMPRODUCT(MAX((Settings!$A$21:$A$25&lt;=$A706)*Settings!$A$21:$A$25))))</f>
      </c>
      <c r="M706" s="32">
        <f>IF($A706="","",L706*IFERROR(INDEX(Settings!$B$30:$B$36,MATCH($B706,Settings!$A$30:$A$36,0)),0))</f>
      </c>
      <c r="N706" s="32">
        <f t="shared" si="51"/>
      </c>
      <c r="O706" s="33">
        <f t="shared" si="52"/>
      </c>
      <c r="P706" s="32">
        <f t="shared" si="53"/>
      </c>
      <c r="Q706" s="33">
        <f t="shared" si="54"/>
      </c>
    </row>
    <row r="707" spans="1:17" x14ac:dyDescent="0.25">
      <c r="A707" s="22"/>
      <c r="B707" s="5"/>
      <c r="C707" s="5"/>
      <c r="D707" s="5"/>
      <c r="E707" s="5"/>
      <c r="F707" s="5"/>
      <c r="G707" s="5"/>
      <c r="H707" s="23"/>
      <c r="I707" s="23"/>
      <c r="J707" s="5"/>
      <c r="K707" s="31">
        <f t="shared" si="50"/>
      </c>
      <c r="L707" s="32">
        <f>IF($A707="","",C707*SUMIFS(Settings!$B$21:$B$25,Settings!$A$21:$A$25,SUMPRODUCT(MAX((Settings!$A$21:$A$25&lt;=$A707)*Settings!$A$21:$A$25)))+D707*SUMIFS(Settings!$C$21:$C$25,Settings!$A$21:$A$25,SUMPRODUCT(MAX((Settings!$A$21:$A$25&lt;=$A707)*Settings!$A$21:$A$25))))</f>
      </c>
      <c r="M707" s="32">
        <f>IF($A707="","",L707*IFERROR(INDEX(Settings!$B$30:$B$36,MATCH($B707,Settings!$A$30:$A$36,0)),0))</f>
      </c>
      <c r="N707" s="32">
        <f t="shared" si="51"/>
      </c>
      <c r="O707" s="33">
        <f t="shared" si="52"/>
      </c>
      <c r="P707" s="32">
        <f t="shared" si="53"/>
      </c>
      <c r="Q707" s="33">
        <f t="shared" si="54"/>
      </c>
    </row>
    <row r="708" spans="1:17" x14ac:dyDescent="0.25">
      <c r="A708" s="22"/>
      <c r="B708" s="5"/>
      <c r="C708" s="5"/>
      <c r="D708" s="5"/>
      <c r="E708" s="5"/>
      <c r="F708" s="5"/>
      <c r="G708" s="5"/>
      <c r="H708" s="23"/>
      <c r="I708" s="23"/>
      <c r="J708" s="5"/>
      <c r="K708" s="31">
        <f t="shared" si="50"/>
      </c>
      <c r="L708" s="32">
        <f>IF($A708="","",C708*SUMIFS(Settings!$B$21:$B$25,Settings!$A$21:$A$25,SUMPRODUCT(MAX((Settings!$A$21:$A$25&lt;=$A708)*Settings!$A$21:$A$25)))+D708*SUMIFS(Settings!$C$21:$C$25,Settings!$A$21:$A$25,SUMPRODUCT(MAX((Settings!$A$21:$A$25&lt;=$A708)*Settings!$A$21:$A$25))))</f>
      </c>
      <c r="M708" s="32">
        <f>IF($A708="","",L708*IFERROR(INDEX(Settings!$B$30:$B$36,MATCH($B708,Settings!$A$30:$A$36,0)),0))</f>
      </c>
      <c r="N708" s="32">
        <f t="shared" si="51"/>
      </c>
      <c r="O708" s="33">
        <f t="shared" si="52"/>
      </c>
      <c r="P708" s="32">
        <f t="shared" si="53"/>
      </c>
      <c r="Q708" s="33">
        <f t="shared" si="54"/>
      </c>
    </row>
    <row r="709" spans="1:17" x14ac:dyDescent="0.25">
      <c r="A709" s="22"/>
      <c r="B709" s="5"/>
      <c r="C709" s="5"/>
      <c r="D709" s="5"/>
      <c r="E709" s="5"/>
      <c r="F709" s="5"/>
      <c r="G709" s="5"/>
      <c r="H709" s="23"/>
      <c r="I709" s="23"/>
      <c r="J709" s="5"/>
      <c r="K709" s="31">
        <f t="shared" si="50"/>
      </c>
      <c r="L709" s="32">
        <f>IF($A709="","",C709*SUMIFS(Settings!$B$21:$B$25,Settings!$A$21:$A$25,SUMPRODUCT(MAX((Settings!$A$21:$A$25&lt;=$A709)*Settings!$A$21:$A$25)))+D709*SUMIFS(Settings!$C$21:$C$25,Settings!$A$21:$A$25,SUMPRODUCT(MAX((Settings!$A$21:$A$25&lt;=$A709)*Settings!$A$21:$A$25))))</f>
      </c>
      <c r="M709" s="32">
        <f>IF($A709="","",L709*IFERROR(INDEX(Settings!$B$30:$B$36,MATCH($B709,Settings!$A$30:$A$36,0)),0))</f>
      </c>
      <c r="N709" s="32">
        <f t="shared" si="51"/>
      </c>
      <c r="O709" s="33">
        <f t="shared" si="52"/>
      </c>
      <c r="P709" s="32">
        <f t="shared" si="53"/>
      </c>
      <c r="Q709" s="33">
        <f t="shared" si="54"/>
      </c>
    </row>
    <row r="710" spans="1:17" x14ac:dyDescent="0.25">
      <c r="A710" s="22"/>
      <c r="B710" s="5"/>
      <c r="C710" s="5"/>
      <c r="D710" s="5"/>
      <c r="E710" s="5"/>
      <c r="F710" s="5"/>
      <c r="G710" s="5"/>
      <c r="H710" s="23"/>
      <c r="I710" s="23"/>
      <c r="J710" s="5"/>
      <c r="K710" s="31">
        <f t="shared" ref="K710:K773" si="55">IF($A710="","",C710+D710)</f>
      </c>
      <c r="L710" s="32">
        <f>IF($A710="","",C710*SUMIFS(Settings!$B$21:$B$25,Settings!$A$21:$A$25,SUMPRODUCT(MAX((Settings!$A$21:$A$25&lt;=$A710)*Settings!$A$21:$A$25)))+D710*SUMIFS(Settings!$C$21:$C$25,Settings!$A$21:$A$25,SUMPRODUCT(MAX((Settings!$A$21:$A$25&lt;=$A710)*Settings!$A$21:$A$25))))</f>
      </c>
      <c r="M710" s="32">
        <f>IF($A710="","",L710*IFERROR(INDEX(Settings!$B$30:$B$36,MATCH($B710,Settings!$A$30:$A$36,0)),0))</f>
      </c>
      <c r="N710" s="32">
        <f t="shared" ref="N710:N773" si="56">IF(OR($A710="",F710="",G710=""),"",(F710-G710)-(K710+E710))</f>
      </c>
      <c r="O710" s="33">
        <f t="shared" ref="O710:O773" si="57">IF(N710="","",IF(N710=0,"OK","CHECK"))</f>
      </c>
      <c r="P710" s="32">
        <f t="shared" ref="P710:P773" si="58">IF(OR($A710="",AND(H710="",I710="")),"",H710+I710-L710)</f>
      </c>
      <c r="Q710" s="33">
        <f t="shared" ref="Q710:Q773" si="59">IF(P710="","",IF(P710=0,"OK","CHECK"))</f>
      </c>
    </row>
    <row r="711" spans="1:17" x14ac:dyDescent="0.25">
      <c r="A711" s="22"/>
      <c r="B711" s="5"/>
      <c r="C711" s="5"/>
      <c r="D711" s="5"/>
      <c r="E711" s="5"/>
      <c r="F711" s="5"/>
      <c r="G711" s="5"/>
      <c r="H711" s="23"/>
      <c r="I711" s="23"/>
      <c r="J711" s="5"/>
      <c r="K711" s="31">
        <f t="shared" si="55"/>
      </c>
      <c r="L711" s="32">
        <f>IF($A711="","",C711*SUMIFS(Settings!$B$21:$B$25,Settings!$A$21:$A$25,SUMPRODUCT(MAX((Settings!$A$21:$A$25&lt;=$A711)*Settings!$A$21:$A$25)))+D711*SUMIFS(Settings!$C$21:$C$25,Settings!$A$21:$A$25,SUMPRODUCT(MAX((Settings!$A$21:$A$25&lt;=$A711)*Settings!$A$21:$A$25))))</f>
      </c>
      <c r="M711" s="32">
        <f>IF($A711="","",L711*IFERROR(INDEX(Settings!$B$30:$B$36,MATCH($B711,Settings!$A$30:$A$36,0)),0))</f>
      </c>
      <c r="N711" s="32">
        <f t="shared" si="56"/>
      </c>
      <c r="O711" s="33">
        <f t="shared" si="57"/>
      </c>
      <c r="P711" s="32">
        <f t="shared" si="58"/>
      </c>
      <c r="Q711" s="33">
        <f t="shared" si="59"/>
      </c>
    </row>
    <row r="712" spans="1:17" x14ac:dyDescent="0.25">
      <c r="A712" s="22"/>
      <c r="B712" s="5"/>
      <c r="C712" s="5"/>
      <c r="D712" s="5"/>
      <c r="E712" s="5"/>
      <c r="F712" s="5"/>
      <c r="G712" s="5"/>
      <c r="H712" s="23"/>
      <c r="I712" s="23"/>
      <c r="J712" s="5"/>
      <c r="K712" s="31">
        <f t="shared" si="55"/>
      </c>
      <c r="L712" s="32">
        <f>IF($A712="","",C712*SUMIFS(Settings!$B$21:$B$25,Settings!$A$21:$A$25,SUMPRODUCT(MAX((Settings!$A$21:$A$25&lt;=$A712)*Settings!$A$21:$A$25)))+D712*SUMIFS(Settings!$C$21:$C$25,Settings!$A$21:$A$25,SUMPRODUCT(MAX((Settings!$A$21:$A$25&lt;=$A712)*Settings!$A$21:$A$25))))</f>
      </c>
      <c r="M712" s="32">
        <f>IF($A712="","",L712*IFERROR(INDEX(Settings!$B$30:$B$36,MATCH($B712,Settings!$A$30:$A$36,0)),0))</f>
      </c>
      <c r="N712" s="32">
        <f t="shared" si="56"/>
      </c>
      <c r="O712" s="33">
        <f t="shared" si="57"/>
      </c>
      <c r="P712" s="32">
        <f t="shared" si="58"/>
      </c>
      <c r="Q712" s="33">
        <f t="shared" si="59"/>
      </c>
    </row>
    <row r="713" spans="1:17" x14ac:dyDescent="0.25">
      <c r="A713" s="22"/>
      <c r="B713" s="5"/>
      <c r="C713" s="5"/>
      <c r="D713" s="5"/>
      <c r="E713" s="5"/>
      <c r="F713" s="5"/>
      <c r="G713" s="5"/>
      <c r="H713" s="23"/>
      <c r="I713" s="23"/>
      <c r="J713" s="5"/>
      <c r="K713" s="31">
        <f t="shared" si="55"/>
      </c>
      <c r="L713" s="32">
        <f>IF($A713="","",C713*SUMIFS(Settings!$B$21:$B$25,Settings!$A$21:$A$25,SUMPRODUCT(MAX((Settings!$A$21:$A$25&lt;=$A713)*Settings!$A$21:$A$25)))+D713*SUMIFS(Settings!$C$21:$C$25,Settings!$A$21:$A$25,SUMPRODUCT(MAX((Settings!$A$21:$A$25&lt;=$A713)*Settings!$A$21:$A$25))))</f>
      </c>
      <c r="M713" s="32">
        <f>IF($A713="","",L713*IFERROR(INDEX(Settings!$B$30:$B$36,MATCH($B713,Settings!$A$30:$A$36,0)),0))</f>
      </c>
      <c r="N713" s="32">
        <f t="shared" si="56"/>
      </c>
      <c r="O713" s="33">
        <f t="shared" si="57"/>
      </c>
      <c r="P713" s="32">
        <f t="shared" si="58"/>
      </c>
      <c r="Q713" s="33">
        <f t="shared" si="59"/>
      </c>
    </row>
    <row r="714" spans="1:17" x14ac:dyDescent="0.25">
      <c r="A714" s="22"/>
      <c r="B714" s="5"/>
      <c r="C714" s="5"/>
      <c r="D714" s="5"/>
      <c r="E714" s="5"/>
      <c r="F714" s="5"/>
      <c r="G714" s="5"/>
      <c r="H714" s="23"/>
      <c r="I714" s="23"/>
      <c r="J714" s="5"/>
      <c r="K714" s="31">
        <f t="shared" si="55"/>
      </c>
      <c r="L714" s="32">
        <f>IF($A714="","",C714*SUMIFS(Settings!$B$21:$B$25,Settings!$A$21:$A$25,SUMPRODUCT(MAX((Settings!$A$21:$A$25&lt;=$A714)*Settings!$A$21:$A$25)))+D714*SUMIFS(Settings!$C$21:$C$25,Settings!$A$21:$A$25,SUMPRODUCT(MAX((Settings!$A$21:$A$25&lt;=$A714)*Settings!$A$21:$A$25))))</f>
      </c>
      <c r="M714" s="32">
        <f>IF($A714="","",L714*IFERROR(INDEX(Settings!$B$30:$B$36,MATCH($B714,Settings!$A$30:$A$36,0)),0))</f>
      </c>
      <c r="N714" s="32">
        <f t="shared" si="56"/>
      </c>
      <c r="O714" s="33">
        <f t="shared" si="57"/>
      </c>
      <c r="P714" s="32">
        <f t="shared" si="58"/>
      </c>
      <c r="Q714" s="33">
        <f t="shared" si="59"/>
      </c>
    </row>
    <row r="715" spans="1:17" x14ac:dyDescent="0.25">
      <c r="A715" s="22"/>
      <c r="B715" s="5"/>
      <c r="C715" s="5"/>
      <c r="D715" s="5"/>
      <c r="E715" s="5"/>
      <c r="F715" s="5"/>
      <c r="G715" s="5"/>
      <c r="H715" s="23"/>
      <c r="I715" s="23"/>
      <c r="J715" s="5"/>
      <c r="K715" s="31">
        <f t="shared" si="55"/>
      </c>
      <c r="L715" s="32">
        <f>IF($A715="","",C715*SUMIFS(Settings!$B$21:$B$25,Settings!$A$21:$A$25,SUMPRODUCT(MAX((Settings!$A$21:$A$25&lt;=$A715)*Settings!$A$21:$A$25)))+D715*SUMIFS(Settings!$C$21:$C$25,Settings!$A$21:$A$25,SUMPRODUCT(MAX((Settings!$A$21:$A$25&lt;=$A715)*Settings!$A$21:$A$25))))</f>
      </c>
      <c r="M715" s="32">
        <f>IF($A715="","",L715*IFERROR(INDEX(Settings!$B$30:$B$36,MATCH($B715,Settings!$A$30:$A$36,0)),0))</f>
      </c>
      <c r="N715" s="32">
        <f t="shared" si="56"/>
      </c>
      <c r="O715" s="33">
        <f t="shared" si="57"/>
      </c>
      <c r="P715" s="32">
        <f t="shared" si="58"/>
      </c>
      <c r="Q715" s="33">
        <f t="shared" si="59"/>
      </c>
    </row>
    <row r="716" spans="1:17" x14ac:dyDescent="0.25">
      <c r="A716" s="22"/>
      <c r="B716" s="5"/>
      <c r="C716" s="5"/>
      <c r="D716" s="5"/>
      <c r="E716" s="5"/>
      <c r="F716" s="5"/>
      <c r="G716" s="5"/>
      <c r="H716" s="23"/>
      <c r="I716" s="23"/>
      <c r="J716" s="5"/>
      <c r="K716" s="31">
        <f t="shared" si="55"/>
      </c>
      <c r="L716" s="32">
        <f>IF($A716="","",C716*SUMIFS(Settings!$B$21:$B$25,Settings!$A$21:$A$25,SUMPRODUCT(MAX((Settings!$A$21:$A$25&lt;=$A716)*Settings!$A$21:$A$25)))+D716*SUMIFS(Settings!$C$21:$C$25,Settings!$A$21:$A$25,SUMPRODUCT(MAX((Settings!$A$21:$A$25&lt;=$A716)*Settings!$A$21:$A$25))))</f>
      </c>
      <c r="M716" s="32">
        <f>IF($A716="","",L716*IFERROR(INDEX(Settings!$B$30:$B$36,MATCH($B716,Settings!$A$30:$A$36,0)),0))</f>
      </c>
      <c r="N716" s="32">
        <f t="shared" si="56"/>
      </c>
      <c r="O716" s="33">
        <f t="shared" si="57"/>
      </c>
      <c r="P716" s="32">
        <f t="shared" si="58"/>
      </c>
      <c r="Q716" s="33">
        <f t="shared" si="59"/>
      </c>
    </row>
    <row r="717" spans="1:17" x14ac:dyDescent="0.25">
      <c r="A717" s="22"/>
      <c r="B717" s="5"/>
      <c r="C717" s="5"/>
      <c r="D717" s="5"/>
      <c r="E717" s="5"/>
      <c r="F717" s="5"/>
      <c r="G717" s="5"/>
      <c r="H717" s="23"/>
      <c r="I717" s="23"/>
      <c r="J717" s="5"/>
      <c r="K717" s="31">
        <f t="shared" si="55"/>
      </c>
      <c r="L717" s="32">
        <f>IF($A717="","",C717*SUMIFS(Settings!$B$21:$B$25,Settings!$A$21:$A$25,SUMPRODUCT(MAX((Settings!$A$21:$A$25&lt;=$A717)*Settings!$A$21:$A$25)))+D717*SUMIFS(Settings!$C$21:$C$25,Settings!$A$21:$A$25,SUMPRODUCT(MAX((Settings!$A$21:$A$25&lt;=$A717)*Settings!$A$21:$A$25))))</f>
      </c>
      <c r="M717" s="32">
        <f>IF($A717="","",L717*IFERROR(INDEX(Settings!$B$30:$B$36,MATCH($B717,Settings!$A$30:$A$36,0)),0))</f>
      </c>
      <c r="N717" s="32">
        <f t="shared" si="56"/>
      </c>
      <c r="O717" s="33">
        <f t="shared" si="57"/>
      </c>
      <c r="P717" s="32">
        <f t="shared" si="58"/>
      </c>
      <c r="Q717" s="33">
        <f t="shared" si="59"/>
      </c>
    </row>
    <row r="718" spans="1:17" x14ac:dyDescent="0.25">
      <c r="A718" s="22"/>
      <c r="B718" s="5"/>
      <c r="C718" s="5"/>
      <c r="D718" s="5"/>
      <c r="E718" s="5"/>
      <c r="F718" s="5"/>
      <c r="G718" s="5"/>
      <c r="H718" s="23"/>
      <c r="I718" s="23"/>
      <c r="J718" s="5"/>
      <c r="K718" s="31">
        <f t="shared" si="55"/>
      </c>
      <c r="L718" s="32">
        <f>IF($A718="","",C718*SUMIFS(Settings!$B$21:$B$25,Settings!$A$21:$A$25,SUMPRODUCT(MAX((Settings!$A$21:$A$25&lt;=$A718)*Settings!$A$21:$A$25)))+D718*SUMIFS(Settings!$C$21:$C$25,Settings!$A$21:$A$25,SUMPRODUCT(MAX((Settings!$A$21:$A$25&lt;=$A718)*Settings!$A$21:$A$25))))</f>
      </c>
      <c r="M718" s="32">
        <f>IF($A718="","",L718*IFERROR(INDEX(Settings!$B$30:$B$36,MATCH($B718,Settings!$A$30:$A$36,0)),0))</f>
      </c>
      <c r="N718" s="32">
        <f t="shared" si="56"/>
      </c>
      <c r="O718" s="33">
        <f t="shared" si="57"/>
      </c>
      <c r="P718" s="32">
        <f t="shared" si="58"/>
      </c>
      <c r="Q718" s="33">
        <f t="shared" si="59"/>
      </c>
    </row>
    <row r="719" spans="1:17" x14ac:dyDescent="0.25">
      <c r="A719" s="22"/>
      <c r="B719" s="5"/>
      <c r="C719" s="5"/>
      <c r="D719" s="5"/>
      <c r="E719" s="5"/>
      <c r="F719" s="5"/>
      <c r="G719" s="5"/>
      <c r="H719" s="23"/>
      <c r="I719" s="23"/>
      <c r="J719" s="5"/>
      <c r="K719" s="31">
        <f t="shared" si="55"/>
      </c>
      <c r="L719" s="32">
        <f>IF($A719="","",C719*SUMIFS(Settings!$B$21:$B$25,Settings!$A$21:$A$25,SUMPRODUCT(MAX((Settings!$A$21:$A$25&lt;=$A719)*Settings!$A$21:$A$25)))+D719*SUMIFS(Settings!$C$21:$C$25,Settings!$A$21:$A$25,SUMPRODUCT(MAX((Settings!$A$21:$A$25&lt;=$A719)*Settings!$A$21:$A$25))))</f>
      </c>
      <c r="M719" s="32">
        <f>IF($A719="","",L719*IFERROR(INDEX(Settings!$B$30:$B$36,MATCH($B719,Settings!$A$30:$A$36,0)),0))</f>
      </c>
      <c r="N719" s="32">
        <f t="shared" si="56"/>
      </c>
      <c r="O719" s="33">
        <f t="shared" si="57"/>
      </c>
      <c r="P719" s="32">
        <f t="shared" si="58"/>
      </c>
      <c r="Q719" s="33">
        <f t="shared" si="59"/>
      </c>
    </row>
    <row r="720" spans="1:17" x14ac:dyDescent="0.25">
      <c r="A720" s="22"/>
      <c r="B720" s="5"/>
      <c r="C720" s="5"/>
      <c r="D720" s="5"/>
      <c r="E720" s="5"/>
      <c r="F720" s="5"/>
      <c r="G720" s="5"/>
      <c r="H720" s="23"/>
      <c r="I720" s="23"/>
      <c r="J720" s="5"/>
      <c r="K720" s="31">
        <f t="shared" si="55"/>
      </c>
      <c r="L720" s="32">
        <f>IF($A720="","",C720*SUMIFS(Settings!$B$21:$B$25,Settings!$A$21:$A$25,SUMPRODUCT(MAX((Settings!$A$21:$A$25&lt;=$A720)*Settings!$A$21:$A$25)))+D720*SUMIFS(Settings!$C$21:$C$25,Settings!$A$21:$A$25,SUMPRODUCT(MAX((Settings!$A$21:$A$25&lt;=$A720)*Settings!$A$21:$A$25))))</f>
      </c>
      <c r="M720" s="32">
        <f>IF($A720="","",L720*IFERROR(INDEX(Settings!$B$30:$B$36,MATCH($B720,Settings!$A$30:$A$36,0)),0))</f>
      </c>
      <c r="N720" s="32">
        <f t="shared" si="56"/>
      </c>
      <c r="O720" s="33">
        <f t="shared" si="57"/>
      </c>
      <c r="P720" s="32">
        <f t="shared" si="58"/>
      </c>
      <c r="Q720" s="33">
        <f t="shared" si="59"/>
      </c>
    </row>
    <row r="721" spans="1:17" x14ac:dyDescent="0.25">
      <c r="A721" s="22"/>
      <c r="B721" s="5"/>
      <c r="C721" s="5"/>
      <c r="D721" s="5"/>
      <c r="E721" s="5"/>
      <c r="F721" s="5"/>
      <c r="G721" s="5"/>
      <c r="H721" s="23"/>
      <c r="I721" s="23"/>
      <c r="J721" s="5"/>
      <c r="K721" s="31">
        <f t="shared" si="55"/>
      </c>
      <c r="L721" s="32">
        <f>IF($A721="","",C721*SUMIFS(Settings!$B$21:$B$25,Settings!$A$21:$A$25,SUMPRODUCT(MAX((Settings!$A$21:$A$25&lt;=$A721)*Settings!$A$21:$A$25)))+D721*SUMIFS(Settings!$C$21:$C$25,Settings!$A$21:$A$25,SUMPRODUCT(MAX((Settings!$A$21:$A$25&lt;=$A721)*Settings!$A$21:$A$25))))</f>
      </c>
      <c r="M721" s="32">
        <f>IF($A721="","",L721*IFERROR(INDEX(Settings!$B$30:$B$36,MATCH($B721,Settings!$A$30:$A$36,0)),0))</f>
      </c>
      <c r="N721" s="32">
        <f t="shared" si="56"/>
      </c>
      <c r="O721" s="33">
        <f t="shared" si="57"/>
      </c>
      <c r="P721" s="32">
        <f t="shared" si="58"/>
      </c>
      <c r="Q721" s="33">
        <f t="shared" si="59"/>
      </c>
    </row>
    <row r="722" spans="1:17" x14ac:dyDescent="0.25">
      <c r="A722" s="22"/>
      <c r="B722" s="5"/>
      <c r="C722" s="5"/>
      <c r="D722" s="5"/>
      <c r="E722" s="5"/>
      <c r="F722" s="5"/>
      <c r="G722" s="5"/>
      <c r="H722" s="23"/>
      <c r="I722" s="23"/>
      <c r="J722" s="5"/>
      <c r="K722" s="31">
        <f t="shared" si="55"/>
      </c>
      <c r="L722" s="32">
        <f>IF($A722="","",C722*SUMIFS(Settings!$B$21:$B$25,Settings!$A$21:$A$25,SUMPRODUCT(MAX((Settings!$A$21:$A$25&lt;=$A722)*Settings!$A$21:$A$25)))+D722*SUMIFS(Settings!$C$21:$C$25,Settings!$A$21:$A$25,SUMPRODUCT(MAX((Settings!$A$21:$A$25&lt;=$A722)*Settings!$A$21:$A$25))))</f>
      </c>
      <c r="M722" s="32">
        <f>IF($A722="","",L722*IFERROR(INDEX(Settings!$B$30:$B$36,MATCH($B722,Settings!$A$30:$A$36,0)),0))</f>
      </c>
      <c r="N722" s="32">
        <f t="shared" si="56"/>
      </c>
      <c r="O722" s="33">
        <f t="shared" si="57"/>
      </c>
      <c r="P722" s="32">
        <f t="shared" si="58"/>
      </c>
      <c r="Q722" s="33">
        <f t="shared" si="59"/>
      </c>
    </row>
    <row r="723" spans="1:17" x14ac:dyDescent="0.25">
      <c r="A723" s="22"/>
      <c r="B723" s="5"/>
      <c r="C723" s="5"/>
      <c r="D723" s="5"/>
      <c r="E723" s="5"/>
      <c r="F723" s="5"/>
      <c r="G723" s="5"/>
      <c r="H723" s="23"/>
      <c r="I723" s="23"/>
      <c r="J723" s="5"/>
      <c r="K723" s="31">
        <f t="shared" si="55"/>
      </c>
      <c r="L723" s="32">
        <f>IF($A723="","",C723*SUMIFS(Settings!$B$21:$B$25,Settings!$A$21:$A$25,SUMPRODUCT(MAX((Settings!$A$21:$A$25&lt;=$A723)*Settings!$A$21:$A$25)))+D723*SUMIFS(Settings!$C$21:$C$25,Settings!$A$21:$A$25,SUMPRODUCT(MAX((Settings!$A$21:$A$25&lt;=$A723)*Settings!$A$21:$A$25))))</f>
      </c>
      <c r="M723" s="32">
        <f>IF($A723="","",L723*IFERROR(INDEX(Settings!$B$30:$B$36,MATCH($B723,Settings!$A$30:$A$36,0)),0))</f>
      </c>
      <c r="N723" s="32">
        <f t="shared" si="56"/>
      </c>
      <c r="O723" s="33">
        <f t="shared" si="57"/>
      </c>
      <c r="P723" s="32">
        <f t="shared" si="58"/>
      </c>
      <c r="Q723" s="33">
        <f t="shared" si="59"/>
      </c>
    </row>
    <row r="724" spans="1:17" x14ac:dyDescent="0.25">
      <c r="A724" s="22"/>
      <c r="B724" s="5"/>
      <c r="C724" s="5"/>
      <c r="D724" s="5"/>
      <c r="E724" s="5"/>
      <c r="F724" s="5"/>
      <c r="G724" s="5"/>
      <c r="H724" s="23"/>
      <c r="I724" s="23"/>
      <c r="J724" s="5"/>
      <c r="K724" s="31">
        <f t="shared" si="55"/>
      </c>
      <c r="L724" s="32">
        <f>IF($A724="","",C724*SUMIFS(Settings!$B$21:$B$25,Settings!$A$21:$A$25,SUMPRODUCT(MAX((Settings!$A$21:$A$25&lt;=$A724)*Settings!$A$21:$A$25)))+D724*SUMIFS(Settings!$C$21:$C$25,Settings!$A$21:$A$25,SUMPRODUCT(MAX((Settings!$A$21:$A$25&lt;=$A724)*Settings!$A$21:$A$25))))</f>
      </c>
      <c r="M724" s="32">
        <f>IF($A724="","",L724*IFERROR(INDEX(Settings!$B$30:$B$36,MATCH($B724,Settings!$A$30:$A$36,0)),0))</f>
      </c>
      <c r="N724" s="32">
        <f t="shared" si="56"/>
      </c>
      <c r="O724" s="33">
        <f t="shared" si="57"/>
      </c>
      <c r="P724" s="32">
        <f t="shared" si="58"/>
      </c>
      <c r="Q724" s="33">
        <f t="shared" si="59"/>
      </c>
    </row>
    <row r="725" spans="1:17" x14ac:dyDescent="0.25">
      <c r="A725" s="22"/>
      <c r="B725" s="5"/>
      <c r="C725" s="5"/>
      <c r="D725" s="5"/>
      <c r="E725" s="5"/>
      <c r="F725" s="5"/>
      <c r="G725" s="5"/>
      <c r="H725" s="23"/>
      <c r="I725" s="23"/>
      <c r="J725" s="5"/>
      <c r="K725" s="31">
        <f t="shared" si="55"/>
      </c>
      <c r="L725" s="32">
        <f>IF($A725="","",C725*SUMIFS(Settings!$B$21:$B$25,Settings!$A$21:$A$25,SUMPRODUCT(MAX((Settings!$A$21:$A$25&lt;=$A725)*Settings!$A$21:$A$25)))+D725*SUMIFS(Settings!$C$21:$C$25,Settings!$A$21:$A$25,SUMPRODUCT(MAX((Settings!$A$21:$A$25&lt;=$A725)*Settings!$A$21:$A$25))))</f>
      </c>
      <c r="M725" s="32">
        <f>IF($A725="","",L725*IFERROR(INDEX(Settings!$B$30:$B$36,MATCH($B725,Settings!$A$30:$A$36,0)),0))</f>
      </c>
      <c r="N725" s="32">
        <f t="shared" si="56"/>
      </c>
      <c r="O725" s="33">
        <f t="shared" si="57"/>
      </c>
      <c r="P725" s="32">
        <f t="shared" si="58"/>
      </c>
      <c r="Q725" s="33">
        <f t="shared" si="59"/>
      </c>
    </row>
    <row r="726" spans="1:17" x14ac:dyDescent="0.25">
      <c r="A726" s="22"/>
      <c r="B726" s="5"/>
      <c r="C726" s="5"/>
      <c r="D726" s="5"/>
      <c r="E726" s="5"/>
      <c r="F726" s="5"/>
      <c r="G726" s="5"/>
      <c r="H726" s="23"/>
      <c r="I726" s="23"/>
      <c r="J726" s="5"/>
      <c r="K726" s="31">
        <f t="shared" si="55"/>
      </c>
      <c r="L726" s="32">
        <f>IF($A726="","",C726*SUMIFS(Settings!$B$21:$B$25,Settings!$A$21:$A$25,SUMPRODUCT(MAX((Settings!$A$21:$A$25&lt;=$A726)*Settings!$A$21:$A$25)))+D726*SUMIFS(Settings!$C$21:$C$25,Settings!$A$21:$A$25,SUMPRODUCT(MAX((Settings!$A$21:$A$25&lt;=$A726)*Settings!$A$21:$A$25))))</f>
      </c>
      <c r="M726" s="32">
        <f>IF($A726="","",L726*IFERROR(INDEX(Settings!$B$30:$B$36,MATCH($B726,Settings!$A$30:$A$36,0)),0))</f>
      </c>
      <c r="N726" s="32">
        <f t="shared" si="56"/>
      </c>
      <c r="O726" s="33">
        <f t="shared" si="57"/>
      </c>
      <c r="P726" s="32">
        <f t="shared" si="58"/>
      </c>
      <c r="Q726" s="33">
        <f t="shared" si="59"/>
      </c>
    </row>
    <row r="727" spans="1:17" x14ac:dyDescent="0.25">
      <c r="A727" s="22"/>
      <c r="B727" s="5"/>
      <c r="C727" s="5"/>
      <c r="D727" s="5"/>
      <c r="E727" s="5"/>
      <c r="F727" s="5"/>
      <c r="G727" s="5"/>
      <c r="H727" s="23"/>
      <c r="I727" s="23"/>
      <c r="J727" s="5"/>
      <c r="K727" s="31">
        <f t="shared" si="55"/>
      </c>
      <c r="L727" s="32">
        <f>IF($A727="","",C727*SUMIFS(Settings!$B$21:$B$25,Settings!$A$21:$A$25,SUMPRODUCT(MAX((Settings!$A$21:$A$25&lt;=$A727)*Settings!$A$21:$A$25)))+D727*SUMIFS(Settings!$C$21:$C$25,Settings!$A$21:$A$25,SUMPRODUCT(MAX((Settings!$A$21:$A$25&lt;=$A727)*Settings!$A$21:$A$25))))</f>
      </c>
      <c r="M727" s="32">
        <f>IF($A727="","",L727*IFERROR(INDEX(Settings!$B$30:$B$36,MATCH($B727,Settings!$A$30:$A$36,0)),0))</f>
      </c>
      <c r="N727" s="32">
        <f t="shared" si="56"/>
      </c>
      <c r="O727" s="33">
        <f t="shared" si="57"/>
      </c>
      <c r="P727" s="32">
        <f t="shared" si="58"/>
      </c>
      <c r="Q727" s="33">
        <f t="shared" si="59"/>
      </c>
    </row>
    <row r="728" spans="1:17" x14ac:dyDescent="0.25">
      <c r="A728" s="22"/>
      <c r="B728" s="5"/>
      <c r="C728" s="5"/>
      <c r="D728" s="5"/>
      <c r="E728" s="5"/>
      <c r="F728" s="5"/>
      <c r="G728" s="5"/>
      <c r="H728" s="23"/>
      <c r="I728" s="23"/>
      <c r="J728" s="5"/>
      <c r="K728" s="31">
        <f t="shared" si="55"/>
      </c>
      <c r="L728" s="32">
        <f>IF($A728="","",C728*SUMIFS(Settings!$B$21:$B$25,Settings!$A$21:$A$25,SUMPRODUCT(MAX((Settings!$A$21:$A$25&lt;=$A728)*Settings!$A$21:$A$25)))+D728*SUMIFS(Settings!$C$21:$C$25,Settings!$A$21:$A$25,SUMPRODUCT(MAX((Settings!$A$21:$A$25&lt;=$A728)*Settings!$A$21:$A$25))))</f>
      </c>
      <c r="M728" s="32">
        <f>IF($A728="","",L728*IFERROR(INDEX(Settings!$B$30:$B$36,MATCH($B728,Settings!$A$30:$A$36,0)),0))</f>
      </c>
      <c r="N728" s="32">
        <f t="shared" si="56"/>
      </c>
      <c r="O728" s="33">
        <f t="shared" si="57"/>
      </c>
      <c r="P728" s="32">
        <f t="shared" si="58"/>
      </c>
      <c r="Q728" s="33">
        <f t="shared" si="59"/>
      </c>
    </row>
    <row r="729" spans="1:17" x14ac:dyDescent="0.25">
      <c r="A729" s="22"/>
      <c r="B729" s="5"/>
      <c r="C729" s="5"/>
      <c r="D729" s="5"/>
      <c r="E729" s="5"/>
      <c r="F729" s="5"/>
      <c r="G729" s="5"/>
      <c r="H729" s="23"/>
      <c r="I729" s="23"/>
      <c r="J729" s="5"/>
      <c r="K729" s="31">
        <f t="shared" si="55"/>
      </c>
      <c r="L729" s="32">
        <f>IF($A729="","",C729*SUMIFS(Settings!$B$21:$B$25,Settings!$A$21:$A$25,SUMPRODUCT(MAX((Settings!$A$21:$A$25&lt;=$A729)*Settings!$A$21:$A$25)))+D729*SUMIFS(Settings!$C$21:$C$25,Settings!$A$21:$A$25,SUMPRODUCT(MAX((Settings!$A$21:$A$25&lt;=$A729)*Settings!$A$21:$A$25))))</f>
      </c>
      <c r="M729" s="32">
        <f>IF($A729="","",L729*IFERROR(INDEX(Settings!$B$30:$B$36,MATCH($B729,Settings!$A$30:$A$36,0)),0))</f>
      </c>
      <c r="N729" s="32">
        <f t="shared" si="56"/>
      </c>
      <c r="O729" s="33">
        <f t="shared" si="57"/>
      </c>
      <c r="P729" s="32">
        <f t="shared" si="58"/>
      </c>
      <c r="Q729" s="33">
        <f t="shared" si="59"/>
      </c>
    </row>
    <row r="730" spans="1:17" x14ac:dyDescent="0.25">
      <c r="A730" s="22"/>
      <c r="B730" s="5"/>
      <c r="C730" s="5"/>
      <c r="D730" s="5"/>
      <c r="E730" s="5"/>
      <c r="F730" s="5"/>
      <c r="G730" s="5"/>
      <c r="H730" s="23"/>
      <c r="I730" s="23"/>
      <c r="J730" s="5"/>
      <c r="K730" s="31">
        <f t="shared" si="55"/>
      </c>
      <c r="L730" s="32">
        <f>IF($A730="","",C730*SUMIFS(Settings!$B$21:$B$25,Settings!$A$21:$A$25,SUMPRODUCT(MAX((Settings!$A$21:$A$25&lt;=$A730)*Settings!$A$21:$A$25)))+D730*SUMIFS(Settings!$C$21:$C$25,Settings!$A$21:$A$25,SUMPRODUCT(MAX((Settings!$A$21:$A$25&lt;=$A730)*Settings!$A$21:$A$25))))</f>
      </c>
      <c r="M730" s="32">
        <f>IF($A730="","",L730*IFERROR(INDEX(Settings!$B$30:$B$36,MATCH($B730,Settings!$A$30:$A$36,0)),0))</f>
      </c>
      <c r="N730" s="32">
        <f t="shared" si="56"/>
      </c>
      <c r="O730" s="33">
        <f t="shared" si="57"/>
      </c>
      <c r="P730" s="32">
        <f t="shared" si="58"/>
      </c>
      <c r="Q730" s="33">
        <f t="shared" si="59"/>
      </c>
    </row>
    <row r="731" spans="1:17" x14ac:dyDescent="0.25">
      <c r="A731" s="22"/>
      <c r="B731" s="5"/>
      <c r="C731" s="5"/>
      <c r="D731" s="5"/>
      <c r="E731" s="5"/>
      <c r="F731" s="5"/>
      <c r="G731" s="5"/>
      <c r="H731" s="23"/>
      <c r="I731" s="23"/>
      <c r="J731" s="5"/>
      <c r="K731" s="31">
        <f t="shared" si="55"/>
      </c>
      <c r="L731" s="32">
        <f>IF($A731="","",C731*SUMIFS(Settings!$B$21:$B$25,Settings!$A$21:$A$25,SUMPRODUCT(MAX((Settings!$A$21:$A$25&lt;=$A731)*Settings!$A$21:$A$25)))+D731*SUMIFS(Settings!$C$21:$C$25,Settings!$A$21:$A$25,SUMPRODUCT(MAX((Settings!$A$21:$A$25&lt;=$A731)*Settings!$A$21:$A$25))))</f>
      </c>
      <c r="M731" s="32">
        <f>IF($A731="","",L731*IFERROR(INDEX(Settings!$B$30:$B$36,MATCH($B731,Settings!$A$30:$A$36,0)),0))</f>
      </c>
      <c r="N731" s="32">
        <f t="shared" si="56"/>
      </c>
      <c r="O731" s="33">
        <f t="shared" si="57"/>
      </c>
      <c r="P731" s="32">
        <f t="shared" si="58"/>
      </c>
      <c r="Q731" s="33">
        <f t="shared" si="59"/>
      </c>
    </row>
    <row r="732" spans="1:17" x14ac:dyDescent="0.25">
      <c r="A732" s="22"/>
      <c r="B732" s="5"/>
      <c r="C732" s="5"/>
      <c r="D732" s="5"/>
      <c r="E732" s="5"/>
      <c r="F732" s="5"/>
      <c r="G732" s="5"/>
      <c r="H732" s="23"/>
      <c r="I732" s="23"/>
      <c r="J732" s="5"/>
      <c r="K732" s="31">
        <f t="shared" si="55"/>
      </c>
      <c r="L732" s="32">
        <f>IF($A732="","",C732*SUMIFS(Settings!$B$21:$B$25,Settings!$A$21:$A$25,SUMPRODUCT(MAX((Settings!$A$21:$A$25&lt;=$A732)*Settings!$A$21:$A$25)))+D732*SUMIFS(Settings!$C$21:$C$25,Settings!$A$21:$A$25,SUMPRODUCT(MAX((Settings!$A$21:$A$25&lt;=$A732)*Settings!$A$21:$A$25))))</f>
      </c>
      <c r="M732" s="32">
        <f>IF($A732="","",L732*IFERROR(INDEX(Settings!$B$30:$B$36,MATCH($B732,Settings!$A$30:$A$36,0)),0))</f>
      </c>
      <c r="N732" s="32">
        <f t="shared" si="56"/>
      </c>
      <c r="O732" s="33">
        <f t="shared" si="57"/>
      </c>
      <c r="P732" s="32">
        <f t="shared" si="58"/>
      </c>
      <c r="Q732" s="33">
        <f t="shared" si="59"/>
      </c>
    </row>
    <row r="733" spans="1:17" x14ac:dyDescent="0.25">
      <c r="A733" s="22"/>
      <c r="B733" s="5"/>
      <c r="C733" s="5"/>
      <c r="D733" s="5"/>
      <c r="E733" s="5"/>
      <c r="F733" s="5"/>
      <c r="G733" s="5"/>
      <c r="H733" s="23"/>
      <c r="I733" s="23"/>
      <c r="J733" s="5"/>
      <c r="K733" s="31">
        <f t="shared" si="55"/>
      </c>
      <c r="L733" s="32">
        <f>IF($A733="","",C733*SUMIFS(Settings!$B$21:$B$25,Settings!$A$21:$A$25,SUMPRODUCT(MAX((Settings!$A$21:$A$25&lt;=$A733)*Settings!$A$21:$A$25)))+D733*SUMIFS(Settings!$C$21:$C$25,Settings!$A$21:$A$25,SUMPRODUCT(MAX((Settings!$A$21:$A$25&lt;=$A733)*Settings!$A$21:$A$25))))</f>
      </c>
      <c r="M733" s="32">
        <f>IF($A733="","",L733*IFERROR(INDEX(Settings!$B$30:$B$36,MATCH($B733,Settings!$A$30:$A$36,0)),0))</f>
      </c>
      <c r="N733" s="32">
        <f t="shared" si="56"/>
      </c>
      <c r="O733" s="33">
        <f t="shared" si="57"/>
      </c>
      <c r="P733" s="32">
        <f t="shared" si="58"/>
      </c>
      <c r="Q733" s="33">
        <f t="shared" si="59"/>
      </c>
    </row>
    <row r="734" spans="1:17" x14ac:dyDescent="0.25">
      <c r="A734" s="22"/>
      <c r="B734" s="5"/>
      <c r="C734" s="5"/>
      <c r="D734" s="5"/>
      <c r="E734" s="5"/>
      <c r="F734" s="5"/>
      <c r="G734" s="5"/>
      <c r="H734" s="23"/>
      <c r="I734" s="23"/>
      <c r="J734" s="5"/>
      <c r="K734" s="31">
        <f t="shared" si="55"/>
      </c>
      <c r="L734" s="32">
        <f>IF($A734="","",C734*SUMIFS(Settings!$B$21:$B$25,Settings!$A$21:$A$25,SUMPRODUCT(MAX((Settings!$A$21:$A$25&lt;=$A734)*Settings!$A$21:$A$25)))+D734*SUMIFS(Settings!$C$21:$C$25,Settings!$A$21:$A$25,SUMPRODUCT(MAX((Settings!$A$21:$A$25&lt;=$A734)*Settings!$A$21:$A$25))))</f>
      </c>
      <c r="M734" s="32">
        <f>IF($A734="","",L734*IFERROR(INDEX(Settings!$B$30:$B$36,MATCH($B734,Settings!$A$30:$A$36,0)),0))</f>
      </c>
      <c r="N734" s="32">
        <f t="shared" si="56"/>
      </c>
      <c r="O734" s="33">
        <f t="shared" si="57"/>
      </c>
      <c r="P734" s="32">
        <f t="shared" si="58"/>
      </c>
      <c r="Q734" s="33">
        <f t="shared" si="59"/>
      </c>
    </row>
    <row r="735" spans="1:17" x14ac:dyDescent="0.25">
      <c r="A735" s="22"/>
      <c r="B735" s="5"/>
      <c r="C735" s="5"/>
      <c r="D735" s="5"/>
      <c r="E735" s="5"/>
      <c r="F735" s="5"/>
      <c r="G735" s="5"/>
      <c r="H735" s="23"/>
      <c r="I735" s="23"/>
      <c r="J735" s="5"/>
      <c r="K735" s="31">
        <f t="shared" si="55"/>
      </c>
      <c r="L735" s="32">
        <f>IF($A735="","",C735*SUMIFS(Settings!$B$21:$B$25,Settings!$A$21:$A$25,SUMPRODUCT(MAX((Settings!$A$21:$A$25&lt;=$A735)*Settings!$A$21:$A$25)))+D735*SUMIFS(Settings!$C$21:$C$25,Settings!$A$21:$A$25,SUMPRODUCT(MAX((Settings!$A$21:$A$25&lt;=$A735)*Settings!$A$21:$A$25))))</f>
      </c>
      <c r="M735" s="32">
        <f>IF($A735="","",L735*IFERROR(INDEX(Settings!$B$30:$B$36,MATCH($B735,Settings!$A$30:$A$36,0)),0))</f>
      </c>
      <c r="N735" s="32">
        <f t="shared" si="56"/>
      </c>
      <c r="O735" s="33">
        <f t="shared" si="57"/>
      </c>
      <c r="P735" s="32">
        <f t="shared" si="58"/>
      </c>
      <c r="Q735" s="33">
        <f t="shared" si="59"/>
      </c>
    </row>
    <row r="736" spans="1:17" x14ac:dyDescent="0.25">
      <c r="A736" s="22"/>
      <c r="B736" s="5"/>
      <c r="C736" s="5"/>
      <c r="D736" s="5"/>
      <c r="E736" s="5"/>
      <c r="F736" s="5"/>
      <c r="G736" s="5"/>
      <c r="H736" s="23"/>
      <c r="I736" s="23"/>
      <c r="J736" s="5"/>
      <c r="K736" s="31">
        <f t="shared" si="55"/>
      </c>
      <c r="L736" s="32">
        <f>IF($A736="","",C736*SUMIFS(Settings!$B$21:$B$25,Settings!$A$21:$A$25,SUMPRODUCT(MAX((Settings!$A$21:$A$25&lt;=$A736)*Settings!$A$21:$A$25)))+D736*SUMIFS(Settings!$C$21:$C$25,Settings!$A$21:$A$25,SUMPRODUCT(MAX((Settings!$A$21:$A$25&lt;=$A736)*Settings!$A$21:$A$25))))</f>
      </c>
      <c r="M736" s="32">
        <f>IF($A736="","",L736*IFERROR(INDEX(Settings!$B$30:$B$36,MATCH($B736,Settings!$A$30:$A$36,0)),0))</f>
      </c>
      <c r="N736" s="32">
        <f t="shared" si="56"/>
      </c>
      <c r="O736" s="33">
        <f t="shared" si="57"/>
      </c>
      <c r="P736" s="32">
        <f t="shared" si="58"/>
      </c>
      <c r="Q736" s="33">
        <f t="shared" si="59"/>
      </c>
    </row>
    <row r="737" spans="1:17" x14ac:dyDescent="0.25">
      <c r="A737" s="22"/>
      <c r="B737" s="5"/>
      <c r="C737" s="5"/>
      <c r="D737" s="5"/>
      <c r="E737" s="5"/>
      <c r="F737" s="5"/>
      <c r="G737" s="5"/>
      <c r="H737" s="23"/>
      <c r="I737" s="23"/>
      <c r="J737" s="5"/>
      <c r="K737" s="31">
        <f t="shared" si="55"/>
      </c>
      <c r="L737" s="32">
        <f>IF($A737="","",C737*SUMIFS(Settings!$B$21:$B$25,Settings!$A$21:$A$25,SUMPRODUCT(MAX((Settings!$A$21:$A$25&lt;=$A737)*Settings!$A$21:$A$25)))+D737*SUMIFS(Settings!$C$21:$C$25,Settings!$A$21:$A$25,SUMPRODUCT(MAX((Settings!$A$21:$A$25&lt;=$A737)*Settings!$A$21:$A$25))))</f>
      </c>
      <c r="M737" s="32">
        <f>IF($A737="","",L737*IFERROR(INDEX(Settings!$B$30:$B$36,MATCH($B737,Settings!$A$30:$A$36,0)),0))</f>
      </c>
      <c r="N737" s="32">
        <f t="shared" si="56"/>
      </c>
      <c r="O737" s="33">
        <f t="shared" si="57"/>
      </c>
      <c r="P737" s="32">
        <f t="shared" si="58"/>
      </c>
      <c r="Q737" s="33">
        <f t="shared" si="59"/>
      </c>
    </row>
    <row r="738" spans="1:17" x14ac:dyDescent="0.25">
      <c r="A738" s="22"/>
      <c r="B738" s="5"/>
      <c r="C738" s="5"/>
      <c r="D738" s="5"/>
      <c r="E738" s="5"/>
      <c r="F738" s="5"/>
      <c r="G738" s="5"/>
      <c r="H738" s="23"/>
      <c r="I738" s="23"/>
      <c r="J738" s="5"/>
      <c r="K738" s="31">
        <f t="shared" si="55"/>
      </c>
      <c r="L738" s="32">
        <f>IF($A738="","",C738*SUMIFS(Settings!$B$21:$B$25,Settings!$A$21:$A$25,SUMPRODUCT(MAX((Settings!$A$21:$A$25&lt;=$A738)*Settings!$A$21:$A$25)))+D738*SUMIFS(Settings!$C$21:$C$25,Settings!$A$21:$A$25,SUMPRODUCT(MAX((Settings!$A$21:$A$25&lt;=$A738)*Settings!$A$21:$A$25))))</f>
      </c>
      <c r="M738" s="32">
        <f>IF($A738="","",L738*IFERROR(INDEX(Settings!$B$30:$B$36,MATCH($B738,Settings!$A$30:$A$36,0)),0))</f>
      </c>
      <c r="N738" s="32">
        <f t="shared" si="56"/>
      </c>
      <c r="O738" s="33">
        <f t="shared" si="57"/>
      </c>
      <c r="P738" s="32">
        <f t="shared" si="58"/>
      </c>
      <c r="Q738" s="33">
        <f t="shared" si="59"/>
      </c>
    </row>
    <row r="739" spans="1:17" x14ac:dyDescent="0.25">
      <c r="A739" s="22"/>
      <c r="B739" s="5"/>
      <c r="C739" s="5"/>
      <c r="D739" s="5"/>
      <c r="E739" s="5"/>
      <c r="F739" s="5"/>
      <c r="G739" s="5"/>
      <c r="H739" s="23"/>
      <c r="I739" s="23"/>
      <c r="J739" s="5"/>
      <c r="K739" s="31">
        <f t="shared" si="55"/>
      </c>
      <c r="L739" s="32">
        <f>IF($A739="","",C739*SUMIFS(Settings!$B$21:$B$25,Settings!$A$21:$A$25,SUMPRODUCT(MAX((Settings!$A$21:$A$25&lt;=$A739)*Settings!$A$21:$A$25)))+D739*SUMIFS(Settings!$C$21:$C$25,Settings!$A$21:$A$25,SUMPRODUCT(MAX((Settings!$A$21:$A$25&lt;=$A739)*Settings!$A$21:$A$25))))</f>
      </c>
      <c r="M739" s="32">
        <f>IF($A739="","",L739*IFERROR(INDEX(Settings!$B$30:$B$36,MATCH($B739,Settings!$A$30:$A$36,0)),0))</f>
      </c>
      <c r="N739" s="32">
        <f t="shared" si="56"/>
      </c>
      <c r="O739" s="33">
        <f t="shared" si="57"/>
      </c>
      <c r="P739" s="32">
        <f t="shared" si="58"/>
      </c>
      <c r="Q739" s="33">
        <f t="shared" si="59"/>
      </c>
    </row>
    <row r="740" spans="1:17" x14ac:dyDescent="0.25">
      <c r="A740" s="22"/>
      <c r="B740" s="5"/>
      <c r="C740" s="5"/>
      <c r="D740" s="5"/>
      <c r="E740" s="5"/>
      <c r="F740" s="5"/>
      <c r="G740" s="5"/>
      <c r="H740" s="23"/>
      <c r="I740" s="23"/>
      <c r="J740" s="5"/>
      <c r="K740" s="31">
        <f t="shared" si="55"/>
      </c>
      <c r="L740" s="32">
        <f>IF($A740="","",C740*SUMIFS(Settings!$B$21:$B$25,Settings!$A$21:$A$25,SUMPRODUCT(MAX((Settings!$A$21:$A$25&lt;=$A740)*Settings!$A$21:$A$25)))+D740*SUMIFS(Settings!$C$21:$C$25,Settings!$A$21:$A$25,SUMPRODUCT(MAX((Settings!$A$21:$A$25&lt;=$A740)*Settings!$A$21:$A$25))))</f>
      </c>
      <c r="M740" s="32">
        <f>IF($A740="","",L740*IFERROR(INDEX(Settings!$B$30:$B$36,MATCH($B740,Settings!$A$30:$A$36,0)),0))</f>
      </c>
      <c r="N740" s="32">
        <f t="shared" si="56"/>
      </c>
      <c r="O740" s="33">
        <f t="shared" si="57"/>
      </c>
      <c r="P740" s="32">
        <f t="shared" si="58"/>
      </c>
      <c r="Q740" s="33">
        <f t="shared" si="59"/>
      </c>
    </row>
    <row r="741" spans="1:17" x14ac:dyDescent="0.25">
      <c r="A741" s="22"/>
      <c r="B741" s="5"/>
      <c r="C741" s="5"/>
      <c r="D741" s="5"/>
      <c r="E741" s="5"/>
      <c r="F741" s="5"/>
      <c r="G741" s="5"/>
      <c r="H741" s="23"/>
      <c r="I741" s="23"/>
      <c r="J741" s="5"/>
      <c r="K741" s="31">
        <f t="shared" si="55"/>
      </c>
      <c r="L741" s="32">
        <f>IF($A741="","",C741*SUMIFS(Settings!$B$21:$B$25,Settings!$A$21:$A$25,SUMPRODUCT(MAX((Settings!$A$21:$A$25&lt;=$A741)*Settings!$A$21:$A$25)))+D741*SUMIFS(Settings!$C$21:$C$25,Settings!$A$21:$A$25,SUMPRODUCT(MAX((Settings!$A$21:$A$25&lt;=$A741)*Settings!$A$21:$A$25))))</f>
      </c>
      <c r="M741" s="32">
        <f>IF($A741="","",L741*IFERROR(INDEX(Settings!$B$30:$B$36,MATCH($B741,Settings!$A$30:$A$36,0)),0))</f>
      </c>
      <c r="N741" s="32">
        <f t="shared" si="56"/>
      </c>
      <c r="O741" s="33">
        <f t="shared" si="57"/>
      </c>
      <c r="P741" s="32">
        <f t="shared" si="58"/>
      </c>
      <c r="Q741" s="33">
        <f t="shared" si="59"/>
      </c>
    </row>
    <row r="742" spans="1:17" x14ac:dyDescent="0.25">
      <c r="A742" s="22"/>
      <c r="B742" s="5"/>
      <c r="C742" s="5"/>
      <c r="D742" s="5"/>
      <c r="E742" s="5"/>
      <c r="F742" s="5"/>
      <c r="G742" s="5"/>
      <c r="H742" s="23"/>
      <c r="I742" s="23"/>
      <c r="J742" s="5"/>
      <c r="K742" s="31">
        <f t="shared" si="55"/>
      </c>
      <c r="L742" s="32">
        <f>IF($A742="","",C742*SUMIFS(Settings!$B$21:$B$25,Settings!$A$21:$A$25,SUMPRODUCT(MAX((Settings!$A$21:$A$25&lt;=$A742)*Settings!$A$21:$A$25)))+D742*SUMIFS(Settings!$C$21:$C$25,Settings!$A$21:$A$25,SUMPRODUCT(MAX((Settings!$A$21:$A$25&lt;=$A742)*Settings!$A$21:$A$25))))</f>
      </c>
      <c r="M742" s="32">
        <f>IF($A742="","",L742*IFERROR(INDEX(Settings!$B$30:$B$36,MATCH($B742,Settings!$A$30:$A$36,0)),0))</f>
      </c>
      <c r="N742" s="32">
        <f t="shared" si="56"/>
      </c>
      <c r="O742" s="33">
        <f t="shared" si="57"/>
      </c>
      <c r="P742" s="32">
        <f t="shared" si="58"/>
      </c>
      <c r="Q742" s="33">
        <f t="shared" si="59"/>
      </c>
    </row>
    <row r="743" spans="1:17" x14ac:dyDescent="0.25">
      <c r="A743" s="22"/>
      <c r="B743" s="5"/>
      <c r="C743" s="5"/>
      <c r="D743" s="5"/>
      <c r="E743" s="5"/>
      <c r="F743" s="5"/>
      <c r="G743" s="5"/>
      <c r="H743" s="23"/>
      <c r="I743" s="23"/>
      <c r="J743" s="5"/>
      <c r="K743" s="31">
        <f t="shared" si="55"/>
      </c>
      <c r="L743" s="32">
        <f>IF($A743="","",C743*SUMIFS(Settings!$B$21:$B$25,Settings!$A$21:$A$25,SUMPRODUCT(MAX((Settings!$A$21:$A$25&lt;=$A743)*Settings!$A$21:$A$25)))+D743*SUMIFS(Settings!$C$21:$C$25,Settings!$A$21:$A$25,SUMPRODUCT(MAX((Settings!$A$21:$A$25&lt;=$A743)*Settings!$A$21:$A$25))))</f>
      </c>
      <c r="M743" s="32">
        <f>IF($A743="","",L743*IFERROR(INDEX(Settings!$B$30:$B$36,MATCH($B743,Settings!$A$30:$A$36,0)),0))</f>
      </c>
      <c r="N743" s="32">
        <f t="shared" si="56"/>
      </c>
      <c r="O743" s="33">
        <f t="shared" si="57"/>
      </c>
      <c r="P743" s="32">
        <f t="shared" si="58"/>
      </c>
      <c r="Q743" s="33">
        <f t="shared" si="59"/>
      </c>
    </row>
    <row r="744" spans="1:17" x14ac:dyDescent="0.25">
      <c r="A744" s="22"/>
      <c r="B744" s="5"/>
      <c r="C744" s="5"/>
      <c r="D744" s="5"/>
      <c r="E744" s="5"/>
      <c r="F744" s="5"/>
      <c r="G744" s="5"/>
      <c r="H744" s="23"/>
      <c r="I744" s="23"/>
      <c r="J744" s="5"/>
      <c r="K744" s="31">
        <f t="shared" si="55"/>
      </c>
      <c r="L744" s="32">
        <f>IF($A744="","",C744*SUMIFS(Settings!$B$21:$B$25,Settings!$A$21:$A$25,SUMPRODUCT(MAX((Settings!$A$21:$A$25&lt;=$A744)*Settings!$A$21:$A$25)))+D744*SUMIFS(Settings!$C$21:$C$25,Settings!$A$21:$A$25,SUMPRODUCT(MAX((Settings!$A$21:$A$25&lt;=$A744)*Settings!$A$21:$A$25))))</f>
      </c>
      <c r="M744" s="32">
        <f>IF($A744="","",L744*IFERROR(INDEX(Settings!$B$30:$B$36,MATCH($B744,Settings!$A$30:$A$36,0)),0))</f>
      </c>
      <c r="N744" s="32">
        <f t="shared" si="56"/>
      </c>
      <c r="O744" s="33">
        <f t="shared" si="57"/>
      </c>
      <c r="P744" s="32">
        <f t="shared" si="58"/>
      </c>
      <c r="Q744" s="33">
        <f t="shared" si="59"/>
      </c>
    </row>
    <row r="745" spans="1:17" x14ac:dyDescent="0.25">
      <c r="A745" s="22"/>
      <c r="B745" s="5"/>
      <c r="C745" s="5"/>
      <c r="D745" s="5"/>
      <c r="E745" s="5"/>
      <c r="F745" s="5"/>
      <c r="G745" s="5"/>
      <c r="H745" s="23"/>
      <c r="I745" s="23"/>
      <c r="J745" s="5"/>
      <c r="K745" s="31">
        <f t="shared" si="55"/>
      </c>
      <c r="L745" s="32">
        <f>IF($A745="","",C745*SUMIFS(Settings!$B$21:$B$25,Settings!$A$21:$A$25,SUMPRODUCT(MAX((Settings!$A$21:$A$25&lt;=$A745)*Settings!$A$21:$A$25)))+D745*SUMIFS(Settings!$C$21:$C$25,Settings!$A$21:$A$25,SUMPRODUCT(MAX((Settings!$A$21:$A$25&lt;=$A745)*Settings!$A$21:$A$25))))</f>
      </c>
      <c r="M745" s="32">
        <f>IF($A745="","",L745*IFERROR(INDEX(Settings!$B$30:$B$36,MATCH($B745,Settings!$A$30:$A$36,0)),0))</f>
      </c>
      <c r="N745" s="32">
        <f t="shared" si="56"/>
      </c>
      <c r="O745" s="33">
        <f t="shared" si="57"/>
      </c>
      <c r="P745" s="32">
        <f t="shared" si="58"/>
      </c>
      <c r="Q745" s="33">
        <f t="shared" si="59"/>
      </c>
    </row>
    <row r="746" spans="1:17" x14ac:dyDescent="0.25">
      <c r="A746" s="22"/>
      <c r="B746" s="5"/>
      <c r="C746" s="5"/>
      <c r="D746" s="5"/>
      <c r="E746" s="5"/>
      <c r="F746" s="5"/>
      <c r="G746" s="5"/>
      <c r="H746" s="23"/>
      <c r="I746" s="23"/>
      <c r="J746" s="5"/>
      <c r="K746" s="31">
        <f t="shared" si="55"/>
      </c>
      <c r="L746" s="32">
        <f>IF($A746="","",C746*SUMIFS(Settings!$B$21:$B$25,Settings!$A$21:$A$25,SUMPRODUCT(MAX((Settings!$A$21:$A$25&lt;=$A746)*Settings!$A$21:$A$25)))+D746*SUMIFS(Settings!$C$21:$C$25,Settings!$A$21:$A$25,SUMPRODUCT(MAX((Settings!$A$21:$A$25&lt;=$A746)*Settings!$A$21:$A$25))))</f>
      </c>
      <c r="M746" s="32">
        <f>IF($A746="","",L746*IFERROR(INDEX(Settings!$B$30:$B$36,MATCH($B746,Settings!$A$30:$A$36,0)),0))</f>
      </c>
      <c r="N746" s="32">
        <f t="shared" si="56"/>
      </c>
      <c r="O746" s="33">
        <f t="shared" si="57"/>
      </c>
      <c r="P746" s="32">
        <f t="shared" si="58"/>
      </c>
      <c r="Q746" s="33">
        <f t="shared" si="59"/>
      </c>
    </row>
    <row r="747" spans="1:17" x14ac:dyDescent="0.25">
      <c r="A747" s="22"/>
      <c r="B747" s="5"/>
      <c r="C747" s="5"/>
      <c r="D747" s="5"/>
      <c r="E747" s="5"/>
      <c r="F747" s="5"/>
      <c r="G747" s="5"/>
      <c r="H747" s="23"/>
      <c r="I747" s="23"/>
      <c r="J747" s="5"/>
      <c r="K747" s="31">
        <f t="shared" si="55"/>
      </c>
      <c r="L747" s="32">
        <f>IF($A747="","",C747*SUMIFS(Settings!$B$21:$B$25,Settings!$A$21:$A$25,SUMPRODUCT(MAX((Settings!$A$21:$A$25&lt;=$A747)*Settings!$A$21:$A$25)))+D747*SUMIFS(Settings!$C$21:$C$25,Settings!$A$21:$A$25,SUMPRODUCT(MAX((Settings!$A$21:$A$25&lt;=$A747)*Settings!$A$21:$A$25))))</f>
      </c>
      <c r="M747" s="32">
        <f>IF($A747="","",L747*IFERROR(INDEX(Settings!$B$30:$B$36,MATCH($B747,Settings!$A$30:$A$36,0)),0))</f>
      </c>
      <c r="N747" s="32">
        <f t="shared" si="56"/>
      </c>
      <c r="O747" s="33">
        <f t="shared" si="57"/>
      </c>
      <c r="P747" s="32">
        <f t="shared" si="58"/>
      </c>
      <c r="Q747" s="33">
        <f t="shared" si="59"/>
      </c>
    </row>
    <row r="748" spans="1:17" x14ac:dyDescent="0.25">
      <c r="A748" s="22"/>
      <c r="B748" s="5"/>
      <c r="C748" s="5"/>
      <c r="D748" s="5"/>
      <c r="E748" s="5"/>
      <c r="F748" s="5"/>
      <c r="G748" s="5"/>
      <c r="H748" s="23"/>
      <c r="I748" s="23"/>
      <c r="J748" s="5"/>
      <c r="K748" s="31">
        <f t="shared" si="55"/>
      </c>
      <c r="L748" s="32">
        <f>IF($A748="","",C748*SUMIFS(Settings!$B$21:$B$25,Settings!$A$21:$A$25,SUMPRODUCT(MAX((Settings!$A$21:$A$25&lt;=$A748)*Settings!$A$21:$A$25)))+D748*SUMIFS(Settings!$C$21:$C$25,Settings!$A$21:$A$25,SUMPRODUCT(MAX((Settings!$A$21:$A$25&lt;=$A748)*Settings!$A$21:$A$25))))</f>
      </c>
      <c r="M748" s="32">
        <f>IF($A748="","",L748*IFERROR(INDEX(Settings!$B$30:$B$36,MATCH($B748,Settings!$A$30:$A$36,0)),0))</f>
      </c>
      <c r="N748" s="32">
        <f t="shared" si="56"/>
      </c>
      <c r="O748" s="33">
        <f t="shared" si="57"/>
      </c>
      <c r="P748" s="32">
        <f t="shared" si="58"/>
      </c>
      <c r="Q748" s="33">
        <f t="shared" si="59"/>
      </c>
    </row>
    <row r="749" spans="1:17" x14ac:dyDescent="0.25">
      <c r="A749" s="22"/>
      <c r="B749" s="5"/>
      <c r="C749" s="5"/>
      <c r="D749" s="5"/>
      <c r="E749" s="5"/>
      <c r="F749" s="5"/>
      <c r="G749" s="5"/>
      <c r="H749" s="23"/>
      <c r="I749" s="23"/>
      <c r="J749" s="5"/>
      <c r="K749" s="31">
        <f t="shared" si="55"/>
      </c>
      <c r="L749" s="32">
        <f>IF($A749="","",C749*SUMIFS(Settings!$B$21:$B$25,Settings!$A$21:$A$25,SUMPRODUCT(MAX((Settings!$A$21:$A$25&lt;=$A749)*Settings!$A$21:$A$25)))+D749*SUMIFS(Settings!$C$21:$C$25,Settings!$A$21:$A$25,SUMPRODUCT(MAX((Settings!$A$21:$A$25&lt;=$A749)*Settings!$A$21:$A$25))))</f>
      </c>
      <c r="M749" s="32">
        <f>IF($A749="","",L749*IFERROR(INDEX(Settings!$B$30:$B$36,MATCH($B749,Settings!$A$30:$A$36,0)),0))</f>
      </c>
      <c r="N749" s="32">
        <f t="shared" si="56"/>
      </c>
      <c r="O749" s="33">
        <f t="shared" si="57"/>
      </c>
      <c r="P749" s="32">
        <f t="shared" si="58"/>
      </c>
      <c r="Q749" s="33">
        <f t="shared" si="59"/>
      </c>
    </row>
    <row r="750" spans="1:17" x14ac:dyDescent="0.25">
      <c r="A750" s="22"/>
      <c r="B750" s="5"/>
      <c r="C750" s="5"/>
      <c r="D750" s="5"/>
      <c r="E750" s="5"/>
      <c r="F750" s="5"/>
      <c r="G750" s="5"/>
      <c r="H750" s="23"/>
      <c r="I750" s="23"/>
      <c r="J750" s="5"/>
      <c r="K750" s="31">
        <f t="shared" si="55"/>
      </c>
      <c r="L750" s="32">
        <f>IF($A750="","",C750*SUMIFS(Settings!$B$21:$B$25,Settings!$A$21:$A$25,SUMPRODUCT(MAX((Settings!$A$21:$A$25&lt;=$A750)*Settings!$A$21:$A$25)))+D750*SUMIFS(Settings!$C$21:$C$25,Settings!$A$21:$A$25,SUMPRODUCT(MAX((Settings!$A$21:$A$25&lt;=$A750)*Settings!$A$21:$A$25))))</f>
      </c>
      <c r="M750" s="32">
        <f>IF($A750="","",L750*IFERROR(INDEX(Settings!$B$30:$B$36,MATCH($B750,Settings!$A$30:$A$36,0)),0))</f>
      </c>
      <c r="N750" s="32">
        <f t="shared" si="56"/>
      </c>
      <c r="O750" s="33">
        <f t="shared" si="57"/>
      </c>
      <c r="P750" s="32">
        <f t="shared" si="58"/>
      </c>
      <c r="Q750" s="33">
        <f t="shared" si="59"/>
      </c>
    </row>
    <row r="751" spans="1:17" x14ac:dyDescent="0.25">
      <c r="A751" s="22"/>
      <c r="B751" s="5"/>
      <c r="C751" s="5"/>
      <c r="D751" s="5"/>
      <c r="E751" s="5"/>
      <c r="F751" s="5"/>
      <c r="G751" s="5"/>
      <c r="H751" s="23"/>
      <c r="I751" s="23"/>
      <c r="J751" s="5"/>
      <c r="K751" s="31">
        <f t="shared" si="55"/>
      </c>
      <c r="L751" s="32">
        <f>IF($A751="","",C751*SUMIFS(Settings!$B$21:$B$25,Settings!$A$21:$A$25,SUMPRODUCT(MAX((Settings!$A$21:$A$25&lt;=$A751)*Settings!$A$21:$A$25)))+D751*SUMIFS(Settings!$C$21:$C$25,Settings!$A$21:$A$25,SUMPRODUCT(MAX((Settings!$A$21:$A$25&lt;=$A751)*Settings!$A$21:$A$25))))</f>
      </c>
      <c r="M751" s="32">
        <f>IF($A751="","",L751*IFERROR(INDEX(Settings!$B$30:$B$36,MATCH($B751,Settings!$A$30:$A$36,0)),0))</f>
      </c>
      <c r="N751" s="32">
        <f t="shared" si="56"/>
      </c>
      <c r="O751" s="33">
        <f t="shared" si="57"/>
      </c>
      <c r="P751" s="32">
        <f t="shared" si="58"/>
      </c>
      <c r="Q751" s="33">
        <f t="shared" si="59"/>
      </c>
    </row>
    <row r="752" spans="1:17" x14ac:dyDescent="0.25">
      <c r="A752" s="22"/>
      <c r="B752" s="5"/>
      <c r="C752" s="5"/>
      <c r="D752" s="5"/>
      <c r="E752" s="5"/>
      <c r="F752" s="5"/>
      <c r="G752" s="5"/>
      <c r="H752" s="23"/>
      <c r="I752" s="23"/>
      <c r="J752" s="5"/>
      <c r="K752" s="31">
        <f t="shared" si="55"/>
      </c>
      <c r="L752" s="32">
        <f>IF($A752="","",C752*SUMIFS(Settings!$B$21:$B$25,Settings!$A$21:$A$25,SUMPRODUCT(MAX((Settings!$A$21:$A$25&lt;=$A752)*Settings!$A$21:$A$25)))+D752*SUMIFS(Settings!$C$21:$C$25,Settings!$A$21:$A$25,SUMPRODUCT(MAX((Settings!$A$21:$A$25&lt;=$A752)*Settings!$A$21:$A$25))))</f>
      </c>
      <c r="M752" s="32">
        <f>IF($A752="","",L752*IFERROR(INDEX(Settings!$B$30:$B$36,MATCH($B752,Settings!$A$30:$A$36,0)),0))</f>
      </c>
      <c r="N752" s="32">
        <f t="shared" si="56"/>
      </c>
      <c r="O752" s="33">
        <f t="shared" si="57"/>
      </c>
      <c r="P752" s="32">
        <f t="shared" si="58"/>
      </c>
      <c r="Q752" s="33">
        <f t="shared" si="59"/>
      </c>
    </row>
    <row r="753" spans="1:17" x14ac:dyDescent="0.25">
      <c r="A753" s="22"/>
      <c r="B753" s="5"/>
      <c r="C753" s="5"/>
      <c r="D753" s="5"/>
      <c r="E753" s="5"/>
      <c r="F753" s="5"/>
      <c r="G753" s="5"/>
      <c r="H753" s="23"/>
      <c r="I753" s="23"/>
      <c r="J753" s="5"/>
      <c r="K753" s="31">
        <f t="shared" si="55"/>
      </c>
      <c r="L753" s="32">
        <f>IF($A753="","",C753*SUMIFS(Settings!$B$21:$B$25,Settings!$A$21:$A$25,SUMPRODUCT(MAX((Settings!$A$21:$A$25&lt;=$A753)*Settings!$A$21:$A$25)))+D753*SUMIFS(Settings!$C$21:$C$25,Settings!$A$21:$A$25,SUMPRODUCT(MAX((Settings!$A$21:$A$25&lt;=$A753)*Settings!$A$21:$A$25))))</f>
      </c>
      <c r="M753" s="32">
        <f>IF($A753="","",L753*IFERROR(INDEX(Settings!$B$30:$B$36,MATCH($B753,Settings!$A$30:$A$36,0)),0))</f>
      </c>
      <c r="N753" s="32">
        <f t="shared" si="56"/>
      </c>
      <c r="O753" s="33">
        <f t="shared" si="57"/>
      </c>
      <c r="P753" s="32">
        <f t="shared" si="58"/>
      </c>
      <c r="Q753" s="33">
        <f t="shared" si="59"/>
      </c>
    </row>
    <row r="754" spans="1:17" x14ac:dyDescent="0.25">
      <c r="A754" s="22"/>
      <c r="B754" s="5"/>
      <c r="C754" s="5"/>
      <c r="D754" s="5"/>
      <c r="E754" s="5"/>
      <c r="F754" s="5"/>
      <c r="G754" s="5"/>
      <c r="H754" s="23"/>
      <c r="I754" s="23"/>
      <c r="J754" s="5"/>
      <c r="K754" s="31">
        <f t="shared" si="55"/>
      </c>
      <c r="L754" s="32">
        <f>IF($A754="","",C754*SUMIFS(Settings!$B$21:$B$25,Settings!$A$21:$A$25,SUMPRODUCT(MAX((Settings!$A$21:$A$25&lt;=$A754)*Settings!$A$21:$A$25)))+D754*SUMIFS(Settings!$C$21:$C$25,Settings!$A$21:$A$25,SUMPRODUCT(MAX((Settings!$A$21:$A$25&lt;=$A754)*Settings!$A$21:$A$25))))</f>
      </c>
      <c r="M754" s="32">
        <f>IF($A754="","",L754*IFERROR(INDEX(Settings!$B$30:$B$36,MATCH($B754,Settings!$A$30:$A$36,0)),0))</f>
      </c>
      <c r="N754" s="32">
        <f t="shared" si="56"/>
      </c>
      <c r="O754" s="33">
        <f t="shared" si="57"/>
      </c>
      <c r="P754" s="32">
        <f t="shared" si="58"/>
      </c>
      <c r="Q754" s="33">
        <f t="shared" si="59"/>
      </c>
    </row>
    <row r="755" spans="1:17" x14ac:dyDescent="0.25">
      <c r="A755" s="22"/>
      <c r="B755" s="5"/>
      <c r="C755" s="5"/>
      <c r="D755" s="5"/>
      <c r="E755" s="5"/>
      <c r="F755" s="5"/>
      <c r="G755" s="5"/>
      <c r="H755" s="23"/>
      <c r="I755" s="23"/>
      <c r="J755" s="5"/>
      <c r="K755" s="31">
        <f t="shared" si="55"/>
      </c>
      <c r="L755" s="32">
        <f>IF($A755="","",C755*SUMIFS(Settings!$B$21:$B$25,Settings!$A$21:$A$25,SUMPRODUCT(MAX((Settings!$A$21:$A$25&lt;=$A755)*Settings!$A$21:$A$25)))+D755*SUMIFS(Settings!$C$21:$C$25,Settings!$A$21:$A$25,SUMPRODUCT(MAX((Settings!$A$21:$A$25&lt;=$A755)*Settings!$A$21:$A$25))))</f>
      </c>
      <c r="M755" s="32">
        <f>IF($A755="","",L755*IFERROR(INDEX(Settings!$B$30:$B$36,MATCH($B755,Settings!$A$30:$A$36,0)),0))</f>
      </c>
      <c r="N755" s="32">
        <f t="shared" si="56"/>
      </c>
      <c r="O755" s="33">
        <f t="shared" si="57"/>
      </c>
      <c r="P755" s="32">
        <f t="shared" si="58"/>
      </c>
      <c r="Q755" s="33">
        <f t="shared" si="59"/>
      </c>
    </row>
    <row r="756" spans="1:17" x14ac:dyDescent="0.25">
      <c r="A756" s="22"/>
      <c r="B756" s="5"/>
      <c r="C756" s="5"/>
      <c r="D756" s="5"/>
      <c r="E756" s="5"/>
      <c r="F756" s="5"/>
      <c r="G756" s="5"/>
      <c r="H756" s="23"/>
      <c r="I756" s="23"/>
      <c r="J756" s="5"/>
      <c r="K756" s="31">
        <f t="shared" si="55"/>
      </c>
      <c r="L756" s="32">
        <f>IF($A756="","",C756*SUMIFS(Settings!$B$21:$B$25,Settings!$A$21:$A$25,SUMPRODUCT(MAX((Settings!$A$21:$A$25&lt;=$A756)*Settings!$A$21:$A$25)))+D756*SUMIFS(Settings!$C$21:$C$25,Settings!$A$21:$A$25,SUMPRODUCT(MAX((Settings!$A$21:$A$25&lt;=$A756)*Settings!$A$21:$A$25))))</f>
      </c>
      <c r="M756" s="32">
        <f>IF($A756="","",L756*IFERROR(INDEX(Settings!$B$30:$B$36,MATCH($B756,Settings!$A$30:$A$36,0)),0))</f>
      </c>
      <c r="N756" s="32">
        <f t="shared" si="56"/>
      </c>
      <c r="O756" s="33">
        <f t="shared" si="57"/>
      </c>
      <c r="P756" s="32">
        <f t="shared" si="58"/>
      </c>
      <c r="Q756" s="33">
        <f t="shared" si="59"/>
      </c>
    </row>
    <row r="757" spans="1:17" x14ac:dyDescent="0.25">
      <c r="A757" s="22"/>
      <c r="B757" s="5"/>
      <c r="C757" s="5"/>
      <c r="D757" s="5"/>
      <c r="E757" s="5"/>
      <c r="F757" s="5"/>
      <c r="G757" s="5"/>
      <c r="H757" s="23"/>
      <c r="I757" s="23"/>
      <c r="J757" s="5"/>
      <c r="K757" s="31">
        <f t="shared" si="55"/>
      </c>
      <c r="L757" s="32">
        <f>IF($A757="","",C757*SUMIFS(Settings!$B$21:$B$25,Settings!$A$21:$A$25,SUMPRODUCT(MAX((Settings!$A$21:$A$25&lt;=$A757)*Settings!$A$21:$A$25)))+D757*SUMIFS(Settings!$C$21:$C$25,Settings!$A$21:$A$25,SUMPRODUCT(MAX((Settings!$A$21:$A$25&lt;=$A757)*Settings!$A$21:$A$25))))</f>
      </c>
      <c r="M757" s="32">
        <f>IF($A757="","",L757*IFERROR(INDEX(Settings!$B$30:$B$36,MATCH($B757,Settings!$A$30:$A$36,0)),0))</f>
      </c>
      <c r="N757" s="32">
        <f t="shared" si="56"/>
      </c>
      <c r="O757" s="33">
        <f t="shared" si="57"/>
      </c>
      <c r="P757" s="32">
        <f t="shared" si="58"/>
      </c>
      <c r="Q757" s="33">
        <f t="shared" si="59"/>
      </c>
    </row>
    <row r="758" spans="1:17" x14ac:dyDescent="0.25">
      <c r="A758" s="22"/>
      <c r="B758" s="5"/>
      <c r="C758" s="5"/>
      <c r="D758" s="5"/>
      <c r="E758" s="5"/>
      <c r="F758" s="5"/>
      <c r="G758" s="5"/>
      <c r="H758" s="23"/>
      <c r="I758" s="23"/>
      <c r="J758" s="5"/>
      <c r="K758" s="31">
        <f t="shared" si="55"/>
      </c>
      <c r="L758" s="32">
        <f>IF($A758="","",C758*SUMIFS(Settings!$B$21:$B$25,Settings!$A$21:$A$25,SUMPRODUCT(MAX((Settings!$A$21:$A$25&lt;=$A758)*Settings!$A$21:$A$25)))+D758*SUMIFS(Settings!$C$21:$C$25,Settings!$A$21:$A$25,SUMPRODUCT(MAX((Settings!$A$21:$A$25&lt;=$A758)*Settings!$A$21:$A$25))))</f>
      </c>
      <c r="M758" s="32">
        <f>IF($A758="","",L758*IFERROR(INDEX(Settings!$B$30:$B$36,MATCH($B758,Settings!$A$30:$A$36,0)),0))</f>
      </c>
      <c r="N758" s="32">
        <f t="shared" si="56"/>
      </c>
      <c r="O758" s="33">
        <f t="shared" si="57"/>
      </c>
      <c r="P758" s="32">
        <f t="shared" si="58"/>
      </c>
      <c r="Q758" s="33">
        <f t="shared" si="59"/>
      </c>
    </row>
    <row r="759" spans="1:17" x14ac:dyDescent="0.25">
      <c r="A759" s="22"/>
      <c r="B759" s="5"/>
      <c r="C759" s="5"/>
      <c r="D759" s="5"/>
      <c r="E759" s="5"/>
      <c r="F759" s="5"/>
      <c r="G759" s="5"/>
      <c r="H759" s="23"/>
      <c r="I759" s="23"/>
      <c r="J759" s="5"/>
      <c r="K759" s="31">
        <f t="shared" si="55"/>
      </c>
      <c r="L759" s="32">
        <f>IF($A759="","",C759*SUMIFS(Settings!$B$21:$B$25,Settings!$A$21:$A$25,SUMPRODUCT(MAX((Settings!$A$21:$A$25&lt;=$A759)*Settings!$A$21:$A$25)))+D759*SUMIFS(Settings!$C$21:$C$25,Settings!$A$21:$A$25,SUMPRODUCT(MAX((Settings!$A$21:$A$25&lt;=$A759)*Settings!$A$21:$A$25))))</f>
      </c>
      <c r="M759" s="32">
        <f>IF($A759="","",L759*IFERROR(INDEX(Settings!$B$30:$B$36,MATCH($B759,Settings!$A$30:$A$36,0)),0))</f>
      </c>
      <c r="N759" s="32">
        <f t="shared" si="56"/>
      </c>
      <c r="O759" s="33">
        <f t="shared" si="57"/>
      </c>
      <c r="P759" s="32">
        <f t="shared" si="58"/>
      </c>
      <c r="Q759" s="33">
        <f t="shared" si="59"/>
      </c>
    </row>
    <row r="760" spans="1:17" x14ac:dyDescent="0.25">
      <c r="A760" s="22"/>
      <c r="B760" s="5"/>
      <c r="C760" s="5"/>
      <c r="D760" s="5"/>
      <c r="E760" s="5"/>
      <c r="F760" s="5"/>
      <c r="G760" s="5"/>
      <c r="H760" s="23"/>
      <c r="I760" s="23"/>
      <c r="J760" s="5"/>
      <c r="K760" s="31">
        <f t="shared" si="55"/>
      </c>
      <c r="L760" s="32">
        <f>IF($A760="","",C760*SUMIFS(Settings!$B$21:$B$25,Settings!$A$21:$A$25,SUMPRODUCT(MAX((Settings!$A$21:$A$25&lt;=$A760)*Settings!$A$21:$A$25)))+D760*SUMIFS(Settings!$C$21:$C$25,Settings!$A$21:$A$25,SUMPRODUCT(MAX((Settings!$A$21:$A$25&lt;=$A760)*Settings!$A$21:$A$25))))</f>
      </c>
      <c r="M760" s="32">
        <f>IF($A760="","",L760*IFERROR(INDEX(Settings!$B$30:$B$36,MATCH($B760,Settings!$A$30:$A$36,0)),0))</f>
      </c>
      <c r="N760" s="32">
        <f t="shared" si="56"/>
      </c>
      <c r="O760" s="33">
        <f t="shared" si="57"/>
      </c>
      <c r="P760" s="32">
        <f t="shared" si="58"/>
      </c>
      <c r="Q760" s="33">
        <f t="shared" si="59"/>
      </c>
    </row>
    <row r="761" spans="1:17" x14ac:dyDescent="0.25">
      <c r="A761" s="22"/>
      <c r="B761" s="5"/>
      <c r="C761" s="5"/>
      <c r="D761" s="5"/>
      <c r="E761" s="5"/>
      <c r="F761" s="5"/>
      <c r="G761" s="5"/>
      <c r="H761" s="23"/>
      <c r="I761" s="23"/>
      <c r="J761" s="5"/>
      <c r="K761" s="31">
        <f t="shared" si="55"/>
      </c>
      <c r="L761" s="32">
        <f>IF($A761="","",C761*SUMIFS(Settings!$B$21:$B$25,Settings!$A$21:$A$25,SUMPRODUCT(MAX((Settings!$A$21:$A$25&lt;=$A761)*Settings!$A$21:$A$25)))+D761*SUMIFS(Settings!$C$21:$C$25,Settings!$A$21:$A$25,SUMPRODUCT(MAX((Settings!$A$21:$A$25&lt;=$A761)*Settings!$A$21:$A$25))))</f>
      </c>
      <c r="M761" s="32">
        <f>IF($A761="","",L761*IFERROR(INDEX(Settings!$B$30:$B$36,MATCH($B761,Settings!$A$30:$A$36,0)),0))</f>
      </c>
      <c r="N761" s="32">
        <f t="shared" si="56"/>
      </c>
      <c r="O761" s="33">
        <f t="shared" si="57"/>
      </c>
      <c r="P761" s="32">
        <f t="shared" si="58"/>
      </c>
      <c r="Q761" s="33">
        <f t="shared" si="59"/>
      </c>
    </row>
    <row r="762" spans="1:17" x14ac:dyDescent="0.25">
      <c r="A762" s="22"/>
      <c r="B762" s="5"/>
      <c r="C762" s="5"/>
      <c r="D762" s="5"/>
      <c r="E762" s="5"/>
      <c r="F762" s="5"/>
      <c r="G762" s="5"/>
      <c r="H762" s="23"/>
      <c r="I762" s="23"/>
      <c r="J762" s="5"/>
      <c r="K762" s="31">
        <f t="shared" si="55"/>
      </c>
      <c r="L762" s="32">
        <f>IF($A762="","",C762*SUMIFS(Settings!$B$21:$B$25,Settings!$A$21:$A$25,SUMPRODUCT(MAX((Settings!$A$21:$A$25&lt;=$A762)*Settings!$A$21:$A$25)))+D762*SUMIFS(Settings!$C$21:$C$25,Settings!$A$21:$A$25,SUMPRODUCT(MAX((Settings!$A$21:$A$25&lt;=$A762)*Settings!$A$21:$A$25))))</f>
      </c>
      <c r="M762" s="32">
        <f>IF($A762="","",L762*IFERROR(INDEX(Settings!$B$30:$B$36,MATCH($B762,Settings!$A$30:$A$36,0)),0))</f>
      </c>
      <c r="N762" s="32">
        <f t="shared" si="56"/>
      </c>
      <c r="O762" s="33">
        <f t="shared" si="57"/>
      </c>
      <c r="P762" s="32">
        <f t="shared" si="58"/>
      </c>
      <c r="Q762" s="33">
        <f t="shared" si="59"/>
      </c>
    </row>
    <row r="763" spans="1:17" x14ac:dyDescent="0.25">
      <c r="A763" s="22"/>
      <c r="B763" s="5"/>
      <c r="C763" s="5"/>
      <c r="D763" s="5"/>
      <c r="E763" s="5"/>
      <c r="F763" s="5"/>
      <c r="G763" s="5"/>
      <c r="H763" s="23"/>
      <c r="I763" s="23"/>
      <c r="J763" s="5"/>
      <c r="K763" s="31">
        <f t="shared" si="55"/>
      </c>
      <c r="L763" s="32">
        <f>IF($A763="","",C763*SUMIFS(Settings!$B$21:$B$25,Settings!$A$21:$A$25,SUMPRODUCT(MAX((Settings!$A$21:$A$25&lt;=$A763)*Settings!$A$21:$A$25)))+D763*SUMIFS(Settings!$C$21:$C$25,Settings!$A$21:$A$25,SUMPRODUCT(MAX((Settings!$A$21:$A$25&lt;=$A763)*Settings!$A$21:$A$25))))</f>
      </c>
      <c r="M763" s="32">
        <f>IF($A763="","",L763*IFERROR(INDEX(Settings!$B$30:$B$36,MATCH($B763,Settings!$A$30:$A$36,0)),0))</f>
      </c>
      <c r="N763" s="32">
        <f t="shared" si="56"/>
      </c>
      <c r="O763" s="33">
        <f t="shared" si="57"/>
      </c>
      <c r="P763" s="32">
        <f t="shared" si="58"/>
      </c>
      <c r="Q763" s="33">
        <f t="shared" si="59"/>
      </c>
    </row>
    <row r="764" spans="1:17" x14ac:dyDescent="0.25">
      <c r="A764" s="22"/>
      <c r="B764" s="5"/>
      <c r="C764" s="5"/>
      <c r="D764" s="5"/>
      <c r="E764" s="5"/>
      <c r="F764" s="5"/>
      <c r="G764" s="5"/>
      <c r="H764" s="23"/>
      <c r="I764" s="23"/>
      <c r="J764" s="5"/>
      <c r="K764" s="31">
        <f t="shared" si="55"/>
      </c>
      <c r="L764" s="32">
        <f>IF($A764="","",C764*SUMIFS(Settings!$B$21:$B$25,Settings!$A$21:$A$25,SUMPRODUCT(MAX((Settings!$A$21:$A$25&lt;=$A764)*Settings!$A$21:$A$25)))+D764*SUMIFS(Settings!$C$21:$C$25,Settings!$A$21:$A$25,SUMPRODUCT(MAX((Settings!$A$21:$A$25&lt;=$A764)*Settings!$A$21:$A$25))))</f>
      </c>
      <c r="M764" s="32">
        <f>IF($A764="","",L764*IFERROR(INDEX(Settings!$B$30:$B$36,MATCH($B764,Settings!$A$30:$A$36,0)),0))</f>
      </c>
      <c r="N764" s="32">
        <f t="shared" si="56"/>
      </c>
      <c r="O764" s="33">
        <f t="shared" si="57"/>
      </c>
      <c r="P764" s="32">
        <f t="shared" si="58"/>
      </c>
      <c r="Q764" s="33">
        <f t="shared" si="59"/>
      </c>
    </row>
    <row r="765" spans="1:17" x14ac:dyDescent="0.25">
      <c r="A765" s="22"/>
      <c r="B765" s="5"/>
      <c r="C765" s="5"/>
      <c r="D765" s="5"/>
      <c r="E765" s="5"/>
      <c r="F765" s="5"/>
      <c r="G765" s="5"/>
      <c r="H765" s="23"/>
      <c r="I765" s="23"/>
      <c r="J765" s="5"/>
      <c r="K765" s="31">
        <f t="shared" si="55"/>
      </c>
      <c r="L765" s="32">
        <f>IF($A765="","",C765*SUMIFS(Settings!$B$21:$B$25,Settings!$A$21:$A$25,SUMPRODUCT(MAX((Settings!$A$21:$A$25&lt;=$A765)*Settings!$A$21:$A$25)))+D765*SUMIFS(Settings!$C$21:$C$25,Settings!$A$21:$A$25,SUMPRODUCT(MAX((Settings!$A$21:$A$25&lt;=$A765)*Settings!$A$21:$A$25))))</f>
      </c>
      <c r="M765" s="32">
        <f>IF($A765="","",L765*IFERROR(INDEX(Settings!$B$30:$B$36,MATCH($B765,Settings!$A$30:$A$36,0)),0))</f>
      </c>
      <c r="N765" s="32">
        <f t="shared" si="56"/>
      </c>
      <c r="O765" s="33">
        <f t="shared" si="57"/>
      </c>
      <c r="P765" s="32">
        <f t="shared" si="58"/>
      </c>
      <c r="Q765" s="33">
        <f t="shared" si="59"/>
      </c>
    </row>
    <row r="766" spans="1:17" x14ac:dyDescent="0.25">
      <c r="A766" s="22"/>
      <c r="B766" s="5"/>
      <c r="C766" s="5"/>
      <c r="D766" s="5"/>
      <c r="E766" s="5"/>
      <c r="F766" s="5"/>
      <c r="G766" s="5"/>
      <c r="H766" s="23"/>
      <c r="I766" s="23"/>
      <c r="J766" s="5"/>
      <c r="K766" s="31">
        <f t="shared" si="55"/>
      </c>
      <c r="L766" s="32">
        <f>IF($A766="","",C766*SUMIFS(Settings!$B$21:$B$25,Settings!$A$21:$A$25,SUMPRODUCT(MAX((Settings!$A$21:$A$25&lt;=$A766)*Settings!$A$21:$A$25)))+D766*SUMIFS(Settings!$C$21:$C$25,Settings!$A$21:$A$25,SUMPRODUCT(MAX((Settings!$A$21:$A$25&lt;=$A766)*Settings!$A$21:$A$25))))</f>
      </c>
      <c r="M766" s="32">
        <f>IF($A766="","",L766*IFERROR(INDEX(Settings!$B$30:$B$36,MATCH($B766,Settings!$A$30:$A$36,0)),0))</f>
      </c>
      <c r="N766" s="32">
        <f t="shared" si="56"/>
      </c>
      <c r="O766" s="33">
        <f t="shared" si="57"/>
      </c>
      <c r="P766" s="32">
        <f t="shared" si="58"/>
      </c>
      <c r="Q766" s="33">
        <f t="shared" si="59"/>
      </c>
    </row>
    <row r="767" spans="1:17" x14ac:dyDescent="0.25">
      <c r="A767" s="22"/>
      <c r="B767" s="5"/>
      <c r="C767" s="5"/>
      <c r="D767" s="5"/>
      <c r="E767" s="5"/>
      <c r="F767" s="5"/>
      <c r="G767" s="5"/>
      <c r="H767" s="23"/>
      <c r="I767" s="23"/>
      <c r="J767" s="5"/>
      <c r="K767" s="31">
        <f t="shared" si="55"/>
      </c>
      <c r="L767" s="32">
        <f>IF($A767="","",C767*SUMIFS(Settings!$B$21:$B$25,Settings!$A$21:$A$25,SUMPRODUCT(MAX((Settings!$A$21:$A$25&lt;=$A767)*Settings!$A$21:$A$25)))+D767*SUMIFS(Settings!$C$21:$C$25,Settings!$A$21:$A$25,SUMPRODUCT(MAX((Settings!$A$21:$A$25&lt;=$A767)*Settings!$A$21:$A$25))))</f>
      </c>
      <c r="M767" s="32">
        <f>IF($A767="","",L767*IFERROR(INDEX(Settings!$B$30:$B$36,MATCH($B767,Settings!$A$30:$A$36,0)),0))</f>
      </c>
      <c r="N767" s="32">
        <f t="shared" si="56"/>
      </c>
      <c r="O767" s="33">
        <f t="shared" si="57"/>
      </c>
      <c r="P767" s="32">
        <f t="shared" si="58"/>
      </c>
      <c r="Q767" s="33">
        <f t="shared" si="59"/>
      </c>
    </row>
    <row r="768" spans="1:17" x14ac:dyDescent="0.25">
      <c r="A768" s="22"/>
      <c r="B768" s="5"/>
      <c r="C768" s="5"/>
      <c r="D768" s="5"/>
      <c r="E768" s="5"/>
      <c r="F768" s="5"/>
      <c r="G768" s="5"/>
      <c r="H768" s="23"/>
      <c r="I768" s="23"/>
      <c r="J768" s="5"/>
      <c r="K768" s="31">
        <f t="shared" si="55"/>
      </c>
      <c r="L768" s="32">
        <f>IF($A768="","",C768*SUMIFS(Settings!$B$21:$B$25,Settings!$A$21:$A$25,SUMPRODUCT(MAX((Settings!$A$21:$A$25&lt;=$A768)*Settings!$A$21:$A$25)))+D768*SUMIFS(Settings!$C$21:$C$25,Settings!$A$21:$A$25,SUMPRODUCT(MAX((Settings!$A$21:$A$25&lt;=$A768)*Settings!$A$21:$A$25))))</f>
      </c>
      <c r="M768" s="32">
        <f>IF($A768="","",L768*IFERROR(INDEX(Settings!$B$30:$B$36,MATCH($B768,Settings!$A$30:$A$36,0)),0))</f>
      </c>
      <c r="N768" s="32">
        <f t="shared" si="56"/>
      </c>
      <c r="O768" s="33">
        <f t="shared" si="57"/>
      </c>
      <c r="P768" s="32">
        <f t="shared" si="58"/>
      </c>
      <c r="Q768" s="33">
        <f t="shared" si="59"/>
      </c>
    </row>
    <row r="769" spans="1:17" x14ac:dyDescent="0.25">
      <c r="A769" s="22"/>
      <c r="B769" s="5"/>
      <c r="C769" s="5"/>
      <c r="D769" s="5"/>
      <c r="E769" s="5"/>
      <c r="F769" s="5"/>
      <c r="G769" s="5"/>
      <c r="H769" s="23"/>
      <c r="I769" s="23"/>
      <c r="J769" s="5"/>
      <c r="K769" s="31">
        <f t="shared" si="55"/>
      </c>
      <c r="L769" s="32">
        <f>IF($A769="","",C769*SUMIFS(Settings!$B$21:$B$25,Settings!$A$21:$A$25,SUMPRODUCT(MAX((Settings!$A$21:$A$25&lt;=$A769)*Settings!$A$21:$A$25)))+D769*SUMIFS(Settings!$C$21:$C$25,Settings!$A$21:$A$25,SUMPRODUCT(MAX((Settings!$A$21:$A$25&lt;=$A769)*Settings!$A$21:$A$25))))</f>
      </c>
      <c r="M769" s="32">
        <f>IF($A769="","",L769*IFERROR(INDEX(Settings!$B$30:$B$36,MATCH($B769,Settings!$A$30:$A$36,0)),0))</f>
      </c>
      <c r="N769" s="32">
        <f t="shared" si="56"/>
      </c>
      <c r="O769" s="33">
        <f t="shared" si="57"/>
      </c>
      <c r="P769" s="32">
        <f t="shared" si="58"/>
      </c>
      <c r="Q769" s="33">
        <f t="shared" si="59"/>
      </c>
    </row>
    <row r="770" spans="1:17" x14ac:dyDescent="0.25">
      <c r="A770" s="22"/>
      <c r="B770" s="5"/>
      <c r="C770" s="5"/>
      <c r="D770" s="5"/>
      <c r="E770" s="5"/>
      <c r="F770" s="5"/>
      <c r="G770" s="5"/>
      <c r="H770" s="23"/>
      <c r="I770" s="23"/>
      <c r="J770" s="5"/>
      <c r="K770" s="31">
        <f t="shared" si="55"/>
      </c>
      <c r="L770" s="32">
        <f>IF($A770="","",C770*SUMIFS(Settings!$B$21:$B$25,Settings!$A$21:$A$25,SUMPRODUCT(MAX((Settings!$A$21:$A$25&lt;=$A770)*Settings!$A$21:$A$25)))+D770*SUMIFS(Settings!$C$21:$C$25,Settings!$A$21:$A$25,SUMPRODUCT(MAX((Settings!$A$21:$A$25&lt;=$A770)*Settings!$A$21:$A$25))))</f>
      </c>
      <c r="M770" s="32">
        <f>IF($A770="","",L770*IFERROR(INDEX(Settings!$B$30:$B$36,MATCH($B770,Settings!$A$30:$A$36,0)),0))</f>
      </c>
      <c r="N770" s="32">
        <f t="shared" si="56"/>
      </c>
      <c r="O770" s="33">
        <f t="shared" si="57"/>
      </c>
      <c r="P770" s="32">
        <f t="shared" si="58"/>
      </c>
      <c r="Q770" s="33">
        <f t="shared" si="59"/>
      </c>
    </row>
    <row r="771" spans="1:17" x14ac:dyDescent="0.25">
      <c r="A771" s="22"/>
      <c r="B771" s="5"/>
      <c r="C771" s="5"/>
      <c r="D771" s="5"/>
      <c r="E771" s="5"/>
      <c r="F771" s="5"/>
      <c r="G771" s="5"/>
      <c r="H771" s="23"/>
      <c r="I771" s="23"/>
      <c r="J771" s="5"/>
      <c r="K771" s="31">
        <f t="shared" si="55"/>
      </c>
      <c r="L771" s="32">
        <f>IF($A771="","",C771*SUMIFS(Settings!$B$21:$B$25,Settings!$A$21:$A$25,SUMPRODUCT(MAX((Settings!$A$21:$A$25&lt;=$A771)*Settings!$A$21:$A$25)))+D771*SUMIFS(Settings!$C$21:$C$25,Settings!$A$21:$A$25,SUMPRODUCT(MAX((Settings!$A$21:$A$25&lt;=$A771)*Settings!$A$21:$A$25))))</f>
      </c>
      <c r="M771" s="32">
        <f>IF($A771="","",L771*IFERROR(INDEX(Settings!$B$30:$B$36,MATCH($B771,Settings!$A$30:$A$36,0)),0))</f>
      </c>
      <c r="N771" s="32">
        <f t="shared" si="56"/>
      </c>
      <c r="O771" s="33">
        <f t="shared" si="57"/>
      </c>
      <c r="P771" s="32">
        <f t="shared" si="58"/>
      </c>
      <c r="Q771" s="33">
        <f t="shared" si="59"/>
      </c>
    </row>
    <row r="772" spans="1:17" x14ac:dyDescent="0.25">
      <c r="A772" s="22"/>
      <c r="B772" s="5"/>
      <c r="C772" s="5"/>
      <c r="D772" s="5"/>
      <c r="E772" s="5"/>
      <c r="F772" s="5"/>
      <c r="G772" s="5"/>
      <c r="H772" s="23"/>
      <c r="I772" s="23"/>
      <c r="J772" s="5"/>
      <c r="K772" s="31">
        <f t="shared" si="55"/>
      </c>
      <c r="L772" s="32">
        <f>IF($A772="","",C772*SUMIFS(Settings!$B$21:$B$25,Settings!$A$21:$A$25,SUMPRODUCT(MAX((Settings!$A$21:$A$25&lt;=$A772)*Settings!$A$21:$A$25)))+D772*SUMIFS(Settings!$C$21:$C$25,Settings!$A$21:$A$25,SUMPRODUCT(MAX((Settings!$A$21:$A$25&lt;=$A772)*Settings!$A$21:$A$25))))</f>
      </c>
      <c r="M772" s="32">
        <f>IF($A772="","",L772*IFERROR(INDEX(Settings!$B$30:$B$36,MATCH($B772,Settings!$A$30:$A$36,0)),0))</f>
      </c>
      <c r="N772" s="32">
        <f t="shared" si="56"/>
      </c>
      <c r="O772" s="33">
        <f t="shared" si="57"/>
      </c>
      <c r="P772" s="32">
        <f t="shared" si="58"/>
      </c>
      <c r="Q772" s="33">
        <f t="shared" si="59"/>
      </c>
    </row>
    <row r="773" spans="1:17" x14ac:dyDescent="0.25">
      <c r="A773" s="22"/>
      <c r="B773" s="5"/>
      <c r="C773" s="5"/>
      <c r="D773" s="5"/>
      <c r="E773" s="5"/>
      <c r="F773" s="5"/>
      <c r="G773" s="5"/>
      <c r="H773" s="23"/>
      <c r="I773" s="23"/>
      <c r="J773" s="5"/>
      <c r="K773" s="31">
        <f t="shared" si="55"/>
      </c>
      <c r="L773" s="32">
        <f>IF($A773="","",C773*SUMIFS(Settings!$B$21:$B$25,Settings!$A$21:$A$25,SUMPRODUCT(MAX((Settings!$A$21:$A$25&lt;=$A773)*Settings!$A$21:$A$25)))+D773*SUMIFS(Settings!$C$21:$C$25,Settings!$A$21:$A$25,SUMPRODUCT(MAX((Settings!$A$21:$A$25&lt;=$A773)*Settings!$A$21:$A$25))))</f>
      </c>
      <c r="M773" s="32">
        <f>IF($A773="","",L773*IFERROR(INDEX(Settings!$B$30:$B$36,MATCH($B773,Settings!$A$30:$A$36,0)),0))</f>
      </c>
      <c r="N773" s="32">
        <f t="shared" si="56"/>
      </c>
      <c r="O773" s="33">
        <f t="shared" si="57"/>
      </c>
      <c r="P773" s="32">
        <f t="shared" si="58"/>
      </c>
      <c r="Q773" s="33">
        <f t="shared" si="59"/>
      </c>
    </row>
    <row r="774" spans="1:17" x14ac:dyDescent="0.25">
      <c r="A774" s="22"/>
      <c r="B774" s="5"/>
      <c r="C774" s="5"/>
      <c r="D774" s="5"/>
      <c r="E774" s="5"/>
      <c r="F774" s="5"/>
      <c r="G774" s="5"/>
      <c r="H774" s="23"/>
      <c r="I774" s="23"/>
      <c r="J774" s="5"/>
      <c r="K774" s="31">
        <f t="shared" ref="K774:K837" si="60">IF($A774="","",C774+D774)</f>
      </c>
      <c r="L774" s="32">
        <f>IF($A774="","",C774*SUMIFS(Settings!$B$21:$B$25,Settings!$A$21:$A$25,SUMPRODUCT(MAX((Settings!$A$21:$A$25&lt;=$A774)*Settings!$A$21:$A$25)))+D774*SUMIFS(Settings!$C$21:$C$25,Settings!$A$21:$A$25,SUMPRODUCT(MAX((Settings!$A$21:$A$25&lt;=$A774)*Settings!$A$21:$A$25))))</f>
      </c>
      <c r="M774" s="32">
        <f>IF($A774="","",L774*IFERROR(INDEX(Settings!$B$30:$B$36,MATCH($B774,Settings!$A$30:$A$36,0)),0))</f>
      </c>
      <c r="N774" s="32">
        <f t="shared" ref="N774:N837" si="61">IF(OR($A774="",F774="",G774=""),"",(F774-G774)-(K774+E774))</f>
      </c>
      <c r="O774" s="33">
        <f t="shared" ref="O774:O837" si="62">IF(N774="","",IF(N774=0,"OK","CHECK"))</f>
      </c>
      <c r="P774" s="32">
        <f t="shared" ref="P774:P837" si="63">IF(OR($A774="",AND(H774="",I774="")),"",H774+I774-L774)</f>
      </c>
      <c r="Q774" s="33">
        <f t="shared" ref="Q774:Q837" si="64">IF(P774="","",IF(P774=0,"OK","CHECK"))</f>
      </c>
    </row>
    <row r="775" spans="1:17" x14ac:dyDescent="0.25">
      <c r="A775" s="22"/>
      <c r="B775" s="5"/>
      <c r="C775" s="5"/>
      <c r="D775" s="5"/>
      <c r="E775" s="5"/>
      <c r="F775" s="5"/>
      <c r="G775" s="5"/>
      <c r="H775" s="23"/>
      <c r="I775" s="23"/>
      <c r="J775" s="5"/>
      <c r="K775" s="31">
        <f t="shared" si="60"/>
      </c>
      <c r="L775" s="32">
        <f>IF($A775="","",C775*SUMIFS(Settings!$B$21:$B$25,Settings!$A$21:$A$25,SUMPRODUCT(MAX((Settings!$A$21:$A$25&lt;=$A775)*Settings!$A$21:$A$25)))+D775*SUMIFS(Settings!$C$21:$C$25,Settings!$A$21:$A$25,SUMPRODUCT(MAX((Settings!$A$21:$A$25&lt;=$A775)*Settings!$A$21:$A$25))))</f>
      </c>
      <c r="M775" s="32">
        <f>IF($A775="","",L775*IFERROR(INDEX(Settings!$B$30:$B$36,MATCH($B775,Settings!$A$30:$A$36,0)),0))</f>
      </c>
      <c r="N775" s="32">
        <f t="shared" si="61"/>
      </c>
      <c r="O775" s="33">
        <f t="shared" si="62"/>
      </c>
      <c r="P775" s="32">
        <f t="shared" si="63"/>
      </c>
      <c r="Q775" s="33">
        <f t="shared" si="64"/>
      </c>
    </row>
    <row r="776" spans="1:17" x14ac:dyDescent="0.25">
      <c r="A776" s="22"/>
      <c r="B776" s="5"/>
      <c r="C776" s="5"/>
      <c r="D776" s="5"/>
      <c r="E776" s="5"/>
      <c r="F776" s="5"/>
      <c r="G776" s="5"/>
      <c r="H776" s="23"/>
      <c r="I776" s="23"/>
      <c r="J776" s="5"/>
      <c r="K776" s="31">
        <f t="shared" si="60"/>
      </c>
      <c r="L776" s="32">
        <f>IF($A776="","",C776*SUMIFS(Settings!$B$21:$B$25,Settings!$A$21:$A$25,SUMPRODUCT(MAX((Settings!$A$21:$A$25&lt;=$A776)*Settings!$A$21:$A$25)))+D776*SUMIFS(Settings!$C$21:$C$25,Settings!$A$21:$A$25,SUMPRODUCT(MAX((Settings!$A$21:$A$25&lt;=$A776)*Settings!$A$21:$A$25))))</f>
      </c>
      <c r="M776" s="32">
        <f>IF($A776="","",L776*IFERROR(INDEX(Settings!$B$30:$B$36,MATCH($B776,Settings!$A$30:$A$36,0)),0))</f>
      </c>
      <c r="N776" s="32">
        <f t="shared" si="61"/>
      </c>
      <c r="O776" s="33">
        <f t="shared" si="62"/>
      </c>
      <c r="P776" s="32">
        <f t="shared" si="63"/>
      </c>
      <c r="Q776" s="33">
        <f t="shared" si="64"/>
      </c>
    </row>
    <row r="777" spans="1:17" x14ac:dyDescent="0.25">
      <c r="A777" s="22"/>
      <c r="B777" s="5"/>
      <c r="C777" s="5"/>
      <c r="D777" s="5"/>
      <c r="E777" s="5"/>
      <c r="F777" s="5"/>
      <c r="G777" s="5"/>
      <c r="H777" s="23"/>
      <c r="I777" s="23"/>
      <c r="J777" s="5"/>
      <c r="K777" s="31">
        <f t="shared" si="60"/>
      </c>
      <c r="L777" s="32">
        <f>IF($A777="","",C777*SUMIFS(Settings!$B$21:$B$25,Settings!$A$21:$A$25,SUMPRODUCT(MAX((Settings!$A$21:$A$25&lt;=$A777)*Settings!$A$21:$A$25)))+D777*SUMIFS(Settings!$C$21:$C$25,Settings!$A$21:$A$25,SUMPRODUCT(MAX((Settings!$A$21:$A$25&lt;=$A777)*Settings!$A$21:$A$25))))</f>
      </c>
      <c r="M777" s="32">
        <f>IF($A777="","",L777*IFERROR(INDEX(Settings!$B$30:$B$36,MATCH($B777,Settings!$A$30:$A$36,0)),0))</f>
      </c>
      <c r="N777" s="32">
        <f t="shared" si="61"/>
      </c>
      <c r="O777" s="33">
        <f t="shared" si="62"/>
      </c>
      <c r="P777" s="32">
        <f t="shared" si="63"/>
      </c>
      <c r="Q777" s="33">
        <f t="shared" si="64"/>
      </c>
    </row>
    <row r="778" spans="1:17" x14ac:dyDescent="0.25">
      <c r="A778" s="22"/>
      <c r="B778" s="5"/>
      <c r="C778" s="5"/>
      <c r="D778" s="5"/>
      <c r="E778" s="5"/>
      <c r="F778" s="5"/>
      <c r="G778" s="5"/>
      <c r="H778" s="23"/>
      <c r="I778" s="23"/>
      <c r="J778" s="5"/>
      <c r="K778" s="31">
        <f t="shared" si="60"/>
      </c>
      <c r="L778" s="32">
        <f>IF($A778="","",C778*SUMIFS(Settings!$B$21:$B$25,Settings!$A$21:$A$25,SUMPRODUCT(MAX((Settings!$A$21:$A$25&lt;=$A778)*Settings!$A$21:$A$25)))+D778*SUMIFS(Settings!$C$21:$C$25,Settings!$A$21:$A$25,SUMPRODUCT(MAX((Settings!$A$21:$A$25&lt;=$A778)*Settings!$A$21:$A$25))))</f>
      </c>
      <c r="M778" s="32">
        <f>IF($A778="","",L778*IFERROR(INDEX(Settings!$B$30:$B$36,MATCH($B778,Settings!$A$30:$A$36,0)),0))</f>
      </c>
      <c r="N778" s="32">
        <f t="shared" si="61"/>
      </c>
      <c r="O778" s="33">
        <f t="shared" si="62"/>
      </c>
      <c r="P778" s="32">
        <f t="shared" si="63"/>
      </c>
      <c r="Q778" s="33">
        <f t="shared" si="64"/>
      </c>
    </row>
    <row r="779" spans="1:17" x14ac:dyDescent="0.25">
      <c r="A779" s="22"/>
      <c r="B779" s="5"/>
      <c r="C779" s="5"/>
      <c r="D779" s="5"/>
      <c r="E779" s="5"/>
      <c r="F779" s="5"/>
      <c r="G779" s="5"/>
      <c r="H779" s="23"/>
      <c r="I779" s="23"/>
      <c r="J779" s="5"/>
      <c r="K779" s="31">
        <f t="shared" si="60"/>
      </c>
      <c r="L779" s="32">
        <f>IF($A779="","",C779*SUMIFS(Settings!$B$21:$B$25,Settings!$A$21:$A$25,SUMPRODUCT(MAX((Settings!$A$21:$A$25&lt;=$A779)*Settings!$A$21:$A$25)))+D779*SUMIFS(Settings!$C$21:$C$25,Settings!$A$21:$A$25,SUMPRODUCT(MAX((Settings!$A$21:$A$25&lt;=$A779)*Settings!$A$21:$A$25))))</f>
      </c>
      <c r="M779" s="32">
        <f>IF($A779="","",L779*IFERROR(INDEX(Settings!$B$30:$B$36,MATCH($B779,Settings!$A$30:$A$36,0)),0))</f>
      </c>
      <c r="N779" s="32">
        <f t="shared" si="61"/>
      </c>
      <c r="O779" s="33">
        <f t="shared" si="62"/>
      </c>
      <c r="P779" s="32">
        <f t="shared" si="63"/>
      </c>
      <c r="Q779" s="33">
        <f t="shared" si="64"/>
      </c>
    </row>
    <row r="780" spans="1:17" x14ac:dyDescent="0.25">
      <c r="A780" s="22"/>
      <c r="B780" s="5"/>
      <c r="C780" s="5"/>
      <c r="D780" s="5"/>
      <c r="E780" s="5"/>
      <c r="F780" s="5"/>
      <c r="G780" s="5"/>
      <c r="H780" s="23"/>
      <c r="I780" s="23"/>
      <c r="J780" s="5"/>
      <c r="K780" s="31">
        <f t="shared" si="60"/>
      </c>
      <c r="L780" s="32">
        <f>IF($A780="","",C780*SUMIFS(Settings!$B$21:$B$25,Settings!$A$21:$A$25,SUMPRODUCT(MAX((Settings!$A$21:$A$25&lt;=$A780)*Settings!$A$21:$A$25)))+D780*SUMIFS(Settings!$C$21:$C$25,Settings!$A$21:$A$25,SUMPRODUCT(MAX((Settings!$A$21:$A$25&lt;=$A780)*Settings!$A$21:$A$25))))</f>
      </c>
      <c r="M780" s="32">
        <f>IF($A780="","",L780*IFERROR(INDEX(Settings!$B$30:$B$36,MATCH($B780,Settings!$A$30:$A$36,0)),0))</f>
      </c>
      <c r="N780" s="32">
        <f t="shared" si="61"/>
      </c>
      <c r="O780" s="33">
        <f t="shared" si="62"/>
      </c>
      <c r="P780" s="32">
        <f t="shared" si="63"/>
      </c>
      <c r="Q780" s="33">
        <f t="shared" si="64"/>
      </c>
    </row>
    <row r="781" spans="1:17" x14ac:dyDescent="0.25">
      <c r="A781" s="22"/>
      <c r="B781" s="5"/>
      <c r="C781" s="5"/>
      <c r="D781" s="5"/>
      <c r="E781" s="5"/>
      <c r="F781" s="5"/>
      <c r="G781" s="5"/>
      <c r="H781" s="23"/>
      <c r="I781" s="23"/>
      <c r="J781" s="5"/>
      <c r="K781" s="31">
        <f t="shared" si="60"/>
      </c>
      <c r="L781" s="32">
        <f>IF($A781="","",C781*SUMIFS(Settings!$B$21:$B$25,Settings!$A$21:$A$25,SUMPRODUCT(MAX((Settings!$A$21:$A$25&lt;=$A781)*Settings!$A$21:$A$25)))+D781*SUMIFS(Settings!$C$21:$C$25,Settings!$A$21:$A$25,SUMPRODUCT(MAX((Settings!$A$21:$A$25&lt;=$A781)*Settings!$A$21:$A$25))))</f>
      </c>
      <c r="M781" s="32">
        <f>IF($A781="","",L781*IFERROR(INDEX(Settings!$B$30:$B$36,MATCH($B781,Settings!$A$30:$A$36,0)),0))</f>
      </c>
      <c r="N781" s="32">
        <f t="shared" si="61"/>
      </c>
      <c r="O781" s="33">
        <f t="shared" si="62"/>
      </c>
      <c r="P781" s="32">
        <f t="shared" si="63"/>
      </c>
      <c r="Q781" s="33">
        <f t="shared" si="64"/>
      </c>
    </row>
    <row r="782" spans="1:17" x14ac:dyDescent="0.25">
      <c r="A782" s="22"/>
      <c r="B782" s="5"/>
      <c r="C782" s="5"/>
      <c r="D782" s="5"/>
      <c r="E782" s="5"/>
      <c r="F782" s="5"/>
      <c r="G782" s="5"/>
      <c r="H782" s="23"/>
      <c r="I782" s="23"/>
      <c r="J782" s="5"/>
      <c r="K782" s="31">
        <f t="shared" si="60"/>
      </c>
      <c r="L782" s="32">
        <f>IF($A782="","",C782*SUMIFS(Settings!$B$21:$B$25,Settings!$A$21:$A$25,SUMPRODUCT(MAX((Settings!$A$21:$A$25&lt;=$A782)*Settings!$A$21:$A$25)))+D782*SUMIFS(Settings!$C$21:$C$25,Settings!$A$21:$A$25,SUMPRODUCT(MAX((Settings!$A$21:$A$25&lt;=$A782)*Settings!$A$21:$A$25))))</f>
      </c>
      <c r="M782" s="32">
        <f>IF($A782="","",L782*IFERROR(INDEX(Settings!$B$30:$B$36,MATCH($B782,Settings!$A$30:$A$36,0)),0))</f>
      </c>
      <c r="N782" s="32">
        <f t="shared" si="61"/>
      </c>
      <c r="O782" s="33">
        <f t="shared" si="62"/>
      </c>
      <c r="P782" s="32">
        <f t="shared" si="63"/>
      </c>
      <c r="Q782" s="33">
        <f t="shared" si="64"/>
      </c>
    </row>
    <row r="783" spans="1:17" x14ac:dyDescent="0.25">
      <c r="A783" s="22"/>
      <c r="B783" s="5"/>
      <c r="C783" s="5"/>
      <c r="D783" s="5"/>
      <c r="E783" s="5"/>
      <c r="F783" s="5"/>
      <c r="G783" s="5"/>
      <c r="H783" s="23"/>
      <c r="I783" s="23"/>
      <c r="J783" s="5"/>
      <c r="K783" s="31">
        <f t="shared" si="60"/>
      </c>
      <c r="L783" s="32">
        <f>IF($A783="","",C783*SUMIFS(Settings!$B$21:$B$25,Settings!$A$21:$A$25,SUMPRODUCT(MAX((Settings!$A$21:$A$25&lt;=$A783)*Settings!$A$21:$A$25)))+D783*SUMIFS(Settings!$C$21:$C$25,Settings!$A$21:$A$25,SUMPRODUCT(MAX((Settings!$A$21:$A$25&lt;=$A783)*Settings!$A$21:$A$25))))</f>
      </c>
      <c r="M783" s="32">
        <f>IF($A783="","",L783*IFERROR(INDEX(Settings!$B$30:$B$36,MATCH($B783,Settings!$A$30:$A$36,0)),0))</f>
      </c>
      <c r="N783" s="32">
        <f t="shared" si="61"/>
      </c>
      <c r="O783" s="33">
        <f t="shared" si="62"/>
      </c>
      <c r="P783" s="32">
        <f t="shared" si="63"/>
      </c>
      <c r="Q783" s="33">
        <f t="shared" si="64"/>
      </c>
    </row>
    <row r="784" spans="1:17" x14ac:dyDescent="0.25">
      <c r="A784" s="22"/>
      <c r="B784" s="5"/>
      <c r="C784" s="5"/>
      <c r="D784" s="5"/>
      <c r="E784" s="5"/>
      <c r="F784" s="5"/>
      <c r="G784" s="5"/>
      <c r="H784" s="23"/>
      <c r="I784" s="23"/>
      <c r="J784" s="5"/>
      <c r="K784" s="31">
        <f t="shared" si="60"/>
      </c>
      <c r="L784" s="32">
        <f>IF($A784="","",C784*SUMIFS(Settings!$B$21:$B$25,Settings!$A$21:$A$25,SUMPRODUCT(MAX((Settings!$A$21:$A$25&lt;=$A784)*Settings!$A$21:$A$25)))+D784*SUMIFS(Settings!$C$21:$C$25,Settings!$A$21:$A$25,SUMPRODUCT(MAX((Settings!$A$21:$A$25&lt;=$A784)*Settings!$A$21:$A$25))))</f>
      </c>
      <c r="M784" s="32">
        <f>IF($A784="","",L784*IFERROR(INDEX(Settings!$B$30:$B$36,MATCH($B784,Settings!$A$30:$A$36,0)),0))</f>
      </c>
      <c r="N784" s="32">
        <f t="shared" si="61"/>
      </c>
      <c r="O784" s="33">
        <f t="shared" si="62"/>
      </c>
      <c r="P784" s="32">
        <f t="shared" si="63"/>
      </c>
      <c r="Q784" s="33">
        <f t="shared" si="64"/>
      </c>
    </row>
    <row r="785" spans="1:17" x14ac:dyDescent="0.25">
      <c r="A785" s="22"/>
      <c r="B785" s="5"/>
      <c r="C785" s="5"/>
      <c r="D785" s="5"/>
      <c r="E785" s="5"/>
      <c r="F785" s="5"/>
      <c r="G785" s="5"/>
      <c r="H785" s="23"/>
      <c r="I785" s="23"/>
      <c r="J785" s="5"/>
      <c r="K785" s="31">
        <f t="shared" si="60"/>
      </c>
      <c r="L785" s="32">
        <f>IF($A785="","",C785*SUMIFS(Settings!$B$21:$B$25,Settings!$A$21:$A$25,SUMPRODUCT(MAX((Settings!$A$21:$A$25&lt;=$A785)*Settings!$A$21:$A$25)))+D785*SUMIFS(Settings!$C$21:$C$25,Settings!$A$21:$A$25,SUMPRODUCT(MAX((Settings!$A$21:$A$25&lt;=$A785)*Settings!$A$21:$A$25))))</f>
      </c>
      <c r="M785" s="32">
        <f>IF($A785="","",L785*IFERROR(INDEX(Settings!$B$30:$B$36,MATCH($B785,Settings!$A$30:$A$36,0)),0))</f>
      </c>
      <c r="N785" s="32">
        <f t="shared" si="61"/>
      </c>
      <c r="O785" s="33">
        <f t="shared" si="62"/>
      </c>
      <c r="P785" s="32">
        <f t="shared" si="63"/>
      </c>
      <c r="Q785" s="33">
        <f t="shared" si="64"/>
      </c>
    </row>
    <row r="786" spans="1:17" x14ac:dyDescent="0.25">
      <c r="A786" s="22"/>
      <c r="B786" s="5"/>
      <c r="C786" s="5"/>
      <c r="D786" s="5"/>
      <c r="E786" s="5"/>
      <c r="F786" s="5"/>
      <c r="G786" s="5"/>
      <c r="H786" s="23"/>
      <c r="I786" s="23"/>
      <c r="J786" s="5"/>
      <c r="K786" s="31">
        <f t="shared" si="60"/>
      </c>
      <c r="L786" s="32">
        <f>IF($A786="","",C786*SUMIFS(Settings!$B$21:$B$25,Settings!$A$21:$A$25,SUMPRODUCT(MAX((Settings!$A$21:$A$25&lt;=$A786)*Settings!$A$21:$A$25)))+D786*SUMIFS(Settings!$C$21:$C$25,Settings!$A$21:$A$25,SUMPRODUCT(MAX((Settings!$A$21:$A$25&lt;=$A786)*Settings!$A$21:$A$25))))</f>
      </c>
      <c r="M786" s="32">
        <f>IF($A786="","",L786*IFERROR(INDEX(Settings!$B$30:$B$36,MATCH($B786,Settings!$A$30:$A$36,0)),0))</f>
      </c>
      <c r="N786" s="32">
        <f t="shared" si="61"/>
      </c>
      <c r="O786" s="33">
        <f t="shared" si="62"/>
      </c>
      <c r="P786" s="32">
        <f t="shared" si="63"/>
      </c>
      <c r="Q786" s="33">
        <f t="shared" si="64"/>
      </c>
    </row>
    <row r="787" spans="1:17" x14ac:dyDescent="0.25">
      <c r="A787" s="22"/>
      <c r="B787" s="5"/>
      <c r="C787" s="5"/>
      <c r="D787" s="5"/>
      <c r="E787" s="5"/>
      <c r="F787" s="5"/>
      <c r="G787" s="5"/>
      <c r="H787" s="23"/>
      <c r="I787" s="23"/>
      <c r="J787" s="5"/>
      <c r="K787" s="31">
        <f t="shared" si="60"/>
      </c>
      <c r="L787" s="32">
        <f>IF($A787="","",C787*SUMIFS(Settings!$B$21:$B$25,Settings!$A$21:$A$25,SUMPRODUCT(MAX((Settings!$A$21:$A$25&lt;=$A787)*Settings!$A$21:$A$25)))+D787*SUMIFS(Settings!$C$21:$C$25,Settings!$A$21:$A$25,SUMPRODUCT(MAX((Settings!$A$21:$A$25&lt;=$A787)*Settings!$A$21:$A$25))))</f>
      </c>
      <c r="M787" s="32">
        <f>IF($A787="","",L787*IFERROR(INDEX(Settings!$B$30:$B$36,MATCH($B787,Settings!$A$30:$A$36,0)),0))</f>
      </c>
      <c r="N787" s="32">
        <f t="shared" si="61"/>
      </c>
      <c r="O787" s="33">
        <f t="shared" si="62"/>
      </c>
      <c r="P787" s="32">
        <f t="shared" si="63"/>
      </c>
      <c r="Q787" s="33">
        <f t="shared" si="64"/>
      </c>
    </row>
    <row r="788" spans="1:17" x14ac:dyDescent="0.25">
      <c r="A788" s="22"/>
      <c r="B788" s="5"/>
      <c r="C788" s="5"/>
      <c r="D788" s="5"/>
      <c r="E788" s="5"/>
      <c r="F788" s="5"/>
      <c r="G788" s="5"/>
      <c r="H788" s="23"/>
      <c r="I788" s="23"/>
      <c r="J788" s="5"/>
      <c r="K788" s="31">
        <f t="shared" si="60"/>
      </c>
      <c r="L788" s="32">
        <f>IF($A788="","",C788*SUMIFS(Settings!$B$21:$B$25,Settings!$A$21:$A$25,SUMPRODUCT(MAX((Settings!$A$21:$A$25&lt;=$A788)*Settings!$A$21:$A$25)))+D788*SUMIFS(Settings!$C$21:$C$25,Settings!$A$21:$A$25,SUMPRODUCT(MAX((Settings!$A$21:$A$25&lt;=$A788)*Settings!$A$21:$A$25))))</f>
      </c>
      <c r="M788" s="32">
        <f>IF($A788="","",L788*IFERROR(INDEX(Settings!$B$30:$B$36,MATCH($B788,Settings!$A$30:$A$36,0)),0))</f>
      </c>
      <c r="N788" s="32">
        <f t="shared" si="61"/>
      </c>
      <c r="O788" s="33">
        <f t="shared" si="62"/>
      </c>
      <c r="P788" s="32">
        <f t="shared" si="63"/>
      </c>
      <c r="Q788" s="33">
        <f t="shared" si="64"/>
      </c>
    </row>
    <row r="789" spans="1:17" x14ac:dyDescent="0.25">
      <c r="A789" s="22"/>
      <c r="B789" s="5"/>
      <c r="C789" s="5"/>
      <c r="D789" s="5"/>
      <c r="E789" s="5"/>
      <c r="F789" s="5"/>
      <c r="G789" s="5"/>
      <c r="H789" s="23"/>
      <c r="I789" s="23"/>
      <c r="J789" s="5"/>
      <c r="K789" s="31">
        <f t="shared" si="60"/>
      </c>
      <c r="L789" s="32">
        <f>IF($A789="","",C789*SUMIFS(Settings!$B$21:$B$25,Settings!$A$21:$A$25,SUMPRODUCT(MAX((Settings!$A$21:$A$25&lt;=$A789)*Settings!$A$21:$A$25)))+D789*SUMIFS(Settings!$C$21:$C$25,Settings!$A$21:$A$25,SUMPRODUCT(MAX((Settings!$A$21:$A$25&lt;=$A789)*Settings!$A$21:$A$25))))</f>
      </c>
      <c r="M789" s="32">
        <f>IF($A789="","",L789*IFERROR(INDEX(Settings!$B$30:$B$36,MATCH($B789,Settings!$A$30:$A$36,0)),0))</f>
      </c>
      <c r="N789" s="32">
        <f t="shared" si="61"/>
      </c>
      <c r="O789" s="33">
        <f t="shared" si="62"/>
      </c>
      <c r="P789" s="32">
        <f t="shared" si="63"/>
      </c>
      <c r="Q789" s="33">
        <f t="shared" si="64"/>
      </c>
    </row>
    <row r="790" spans="1:17" x14ac:dyDescent="0.25">
      <c r="A790" s="22"/>
      <c r="B790" s="5"/>
      <c r="C790" s="5"/>
      <c r="D790" s="5"/>
      <c r="E790" s="5"/>
      <c r="F790" s="5"/>
      <c r="G790" s="5"/>
      <c r="H790" s="23"/>
      <c r="I790" s="23"/>
      <c r="J790" s="5"/>
      <c r="K790" s="31">
        <f t="shared" si="60"/>
      </c>
      <c r="L790" s="32">
        <f>IF($A790="","",C790*SUMIFS(Settings!$B$21:$B$25,Settings!$A$21:$A$25,SUMPRODUCT(MAX((Settings!$A$21:$A$25&lt;=$A790)*Settings!$A$21:$A$25)))+D790*SUMIFS(Settings!$C$21:$C$25,Settings!$A$21:$A$25,SUMPRODUCT(MAX((Settings!$A$21:$A$25&lt;=$A790)*Settings!$A$21:$A$25))))</f>
      </c>
      <c r="M790" s="32">
        <f>IF($A790="","",L790*IFERROR(INDEX(Settings!$B$30:$B$36,MATCH($B790,Settings!$A$30:$A$36,0)),0))</f>
      </c>
      <c r="N790" s="32">
        <f t="shared" si="61"/>
      </c>
      <c r="O790" s="33">
        <f t="shared" si="62"/>
      </c>
      <c r="P790" s="32">
        <f t="shared" si="63"/>
      </c>
      <c r="Q790" s="33">
        <f t="shared" si="64"/>
      </c>
    </row>
    <row r="791" spans="1:17" x14ac:dyDescent="0.25">
      <c r="A791" s="22"/>
      <c r="B791" s="5"/>
      <c r="C791" s="5"/>
      <c r="D791" s="5"/>
      <c r="E791" s="5"/>
      <c r="F791" s="5"/>
      <c r="G791" s="5"/>
      <c r="H791" s="23"/>
      <c r="I791" s="23"/>
      <c r="J791" s="5"/>
      <c r="K791" s="31">
        <f t="shared" si="60"/>
      </c>
      <c r="L791" s="32">
        <f>IF($A791="","",C791*SUMIFS(Settings!$B$21:$B$25,Settings!$A$21:$A$25,SUMPRODUCT(MAX((Settings!$A$21:$A$25&lt;=$A791)*Settings!$A$21:$A$25)))+D791*SUMIFS(Settings!$C$21:$C$25,Settings!$A$21:$A$25,SUMPRODUCT(MAX((Settings!$A$21:$A$25&lt;=$A791)*Settings!$A$21:$A$25))))</f>
      </c>
      <c r="M791" s="32">
        <f>IF($A791="","",L791*IFERROR(INDEX(Settings!$B$30:$B$36,MATCH($B791,Settings!$A$30:$A$36,0)),0))</f>
      </c>
      <c r="N791" s="32">
        <f t="shared" si="61"/>
      </c>
      <c r="O791" s="33">
        <f t="shared" si="62"/>
      </c>
      <c r="P791" s="32">
        <f t="shared" si="63"/>
      </c>
      <c r="Q791" s="33">
        <f t="shared" si="64"/>
      </c>
    </row>
    <row r="792" spans="1:17" x14ac:dyDescent="0.25">
      <c r="A792" s="22"/>
      <c r="B792" s="5"/>
      <c r="C792" s="5"/>
      <c r="D792" s="5"/>
      <c r="E792" s="5"/>
      <c r="F792" s="5"/>
      <c r="G792" s="5"/>
      <c r="H792" s="23"/>
      <c r="I792" s="23"/>
      <c r="J792" s="5"/>
      <c r="K792" s="31">
        <f t="shared" si="60"/>
      </c>
      <c r="L792" s="32">
        <f>IF($A792="","",C792*SUMIFS(Settings!$B$21:$B$25,Settings!$A$21:$A$25,SUMPRODUCT(MAX((Settings!$A$21:$A$25&lt;=$A792)*Settings!$A$21:$A$25)))+D792*SUMIFS(Settings!$C$21:$C$25,Settings!$A$21:$A$25,SUMPRODUCT(MAX((Settings!$A$21:$A$25&lt;=$A792)*Settings!$A$21:$A$25))))</f>
      </c>
      <c r="M792" s="32">
        <f>IF($A792="","",L792*IFERROR(INDEX(Settings!$B$30:$B$36,MATCH($B792,Settings!$A$30:$A$36,0)),0))</f>
      </c>
      <c r="N792" s="32">
        <f t="shared" si="61"/>
      </c>
      <c r="O792" s="33">
        <f t="shared" si="62"/>
      </c>
      <c r="P792" s="32">
        <f t="shared" si="63"/>
      </c>
      <c r="Q792" s="33">
        <f t="shared" si="64"/>
      </c>
    </row>
    <row r="793" spans="1:17" x14ac:dyDescent="0.25">
      <c r="A793" s="22"/>
      <c r="B793" s="5"/>
      <c r="C793" s="5"/>
      <c r="D793" s="5"/>
      <c r="E793" s="5"/>
      <c r="F793" s="5"/>
      <c r="G793" s="5"/>
      <c r="H793" s="23"/>
      <c r="I793" s="23"/>
      <c r="J793" s="5"/>
      <c r="K793" s="31">
        <f t="shared" si="60"/>
      </c>
      <c r="L793" s="32">
        <f>IF($A793="","",C793*SUMIFS(Settings!$B$21:$B$25,Settings!$A$21:$A$25,SUMPRODUCT(MAX((Settings!$A$21:$A$25&lt;=$A793)*Settings!$A$21:$A$25)))+D793*SUMIFS(Settings!$C$21:$C$25,Settings!$A$21:$A$25,SUMPRODUCT(MAX((Settings!$A$21:$A$25&lt;=$A793)*Settings!$A$21:$A$25))))</f>
      </c>
      <c r="M793" s="32">
        <f>IF($A793="","",L793*IFERROR(INDEX(Settings!$B$30:$B$36,MATCH($B793,Settings!$A$30:$A$36,0)),0))</f>
      </c>
      <c r="N793" s="32">
        <f t="shared" si="61"/>
      </c>
      <c r="O793" s="33">
        <f t="shared" si="62"/>
      </c>
      <c r="P793" s="32">
        <f t="shared" si="63"/>
      </c>
      <c r="Q793" s="33">
        <f t="shared" si="64"/>
      </c>
    </row>
    <row r="794" spans="1:17" x14ac:dyDescent="0.25">
      <c r="A794" s="22"/>
      <c r="B794" s="5"/>
      <c r="C794" s="5"/>
      <c r="D794" s="5"/>
      <c r="E794" s="5"/>
      <c r="F794" s="5"/>
      <c r="G794" s="5"/>
      <c r="H794" s="23"/>
      <c r="I794" s="23"/>
      <c r="J794" s="5"/>
      <c r="K794" s="31">
        <f t="shared" si="60"/>
      </c>
      <c r="L794" s="32">
        <f>IF($A794="","",C794*SUMIFS(Settings!$B$21:$B$25,Settings!$A$21:$A$25,SUMPRODUCT(MAX((Settings!$A$21:$A$25&lt;=$A794)*Settings!$A$21:$A$25)))+D794*SUMIFS(Settings!$C$21:$C$25,Settings!$A$21:$A$25,SUMPRODUCT(MAX((Settings!$A$21:$A$25&lt;=$A794)*Settings!$A$21:$A$25))))</f>
      </c>
      <c r="M794" s="32">
        <f>IF($A794="","",L794*IFERROR(INDEX(Settings!$B$30:$B$36,MATCH($B794,Settings!$A$30:$A$36,0)),0))</f>
      </c>
      <c r="N794" s="32">
        <f t="shared" si="61"/>
      </c>
      <c r="O794" s="33">
        <f t="shared" si="62"/>
      </c>
      <c r="P794" s="32">
        <f t="shared" si="63"/>
      </c>
      <c r="Q794" s="33">
        <f t="shared" si="64"/>
      </c>
    </row>
    <row r="795" spans="1:17" x14ac:dyDescent="0.25">
      <c r="A795" s="22"/>
      <c r="B795" s="5"/>
      <c r="C795" s="5"/>
      <c r="D795" s="5"/>
      <c r="E795" s="5"/>
      <c r="F795" s="5"/>
      <c r="G795" s="5"/>
      <c r="H795" s="23"/>
      <c r="I795" s="23"/>
      <c r="J795" s="5"/>
      <c r="K795" s="31">
        <f t="shared" si="60"/>
      </c>
      <c r="L795" s="32">
        <f>IF($A795="","",C795*SUMIFS(Settings!$B$21:$B$25,Settings!$A$21:$A$25,SUMPRODUCT(MAX((Settings!$A$21:$A$25&lt;=$A795)*Settings!$A$21:$A$25)))+D795*SUMIFS(Settings!$C$21:$C$25,Settings!$A$21:$A$25,SUMPRODUCT(MAX((Settings!$A$21:$A$25&lt;=$A795)*Settings!$A$21:$A$25))))</f>
      </c>
      <c r="M795" s="32">
        <f>IF($A795="","",L795*IFERROR(INDEX(Settings!$B$30:$B$36,MATCH($B795,Settings!$A$30:$A$36,0)),0))</f>
      </c>
      <c r="N795" s="32">
        <f t="shared" si="61"/>
      </c>
      <c r="O795" s="33">
        <f t="shared" si="62"/>
      </c>
      <c r="P795" s="32">
        <f t="shared" si="63"/>
      </c>
      <c r="Q795" s="33">
        <f t="shared" si="64"/>
      </c>
    </row>
    <row r="796" spans="1:17" x14ac:dyDescent="0.25">
      <c r="A796" s="22"/>
      <c r="B796" s="5"/>
      <c r="C796" s="5"/>
      <c r="D796" s="5"/>
      <c r="E796" s="5"/>
      <c r="F796" s="5"/>
      <c r="G796" s="5"/>
      <c r="H796" s="23"/>
      <c r="I796" s="23"/>
      <c r="J796" s="5"/>
      <c r="K796" s="31">
        <f t="shared" si="60"/>
      </c>
      <c r="L796" s="32">
        <f>IF($A796="","",C796*SUMIFS(Settings!$B$21:$B$25,Settings!$A$21:$A$25,SUMPRODUCT(MAX((Settings!$A$21:$A$25&lt;=$A796)*Settings!$A$21:$A$25)))+D796*SUMIFS(Settings!$C$21:$C$25,Settings!$A$21:$A$25,SUMPRODUCT(MAX((Settings!$A$21:$A$25&lt;=$A796)*Settings!$A$21:$A$25))))</f>
      </c>
      <c r="M796" s="32">
        <f>IF($A796="","",L796*IFERROR(INDEX(Settings!$B$30:$B$36,MATCH($B796,Settings!$A$30:$A$36,0)),0))</f>
      </c>
      <c r="N796" s="32">
        <f t="shared" si="61"/>
      </c>
      <c r="O796" s="33">
        <f t="shared" si="62"/>
      </c>
      <c r="P796" s="32">
        <f t="shared" si="63"/>
      </c>
      <c r="Q796" s="33">
        <f t="shared" si="64"/>
      </c>
    </row>
    <row r="797" spans="1:17" x14ac:dyDescent="0.25">
      <c r="A797" s="22"/>
      <c r="B797" s="5"/>
      <c r="C797" s="5"/>
      <c r="D797" s="5"/>
      <c r="E797" s="5"/>
      <c r="F797" s="5"/>
      <c r="G797" s="5"/>
      <c r="H797" s="23"/>
      <c r="I797" s="23"/>
      <c r="J797" s="5"/>
      <c r="K797" s="31">
        <f t="shared" si="60"/>
      </c>
      <c r="L797" s="32">
        <f>IF($A797="","",C797*SUMIFS(Settings!$B$21:$B$25,Settings!$A$21:$A$25,SUMPRODUCT(MAX((Settings!$A$21:$A$25&lt;=$A797)*Settings!$A$21:$A$25)))+D797*SUMIFS(Settings!$C$21:$C$25,Settings!$A$21:$A$25,SUMPRODUCT(MAX((Settings!$A$21:$A$25&lt;=$A797)*Settings!$A$21:$A$25))))</f>
      </c>
      <c r="M797" s="32">
        <f>IF($A797="","",L797*IFERROR(INDEX(Settings!$B$30:$B$36,MATCH($B797,Settings!$A$30:$A$36,0)),0))</f>
      </c>
      <c r="N797" s="32">
        <f t="shared" si="61"/>
      </c>
      <c r="O797" s="33">
        <f t="shared" si="62"/>
      </c>
      <c r="P797" s="32">
        <f t="shared" si="63"/>
      </c>
      <c r="Q797" s="33">
        <f t="shared" si="64"/>
      </c>
    </row>
    <row r="798" spans="1:17" x14ac:dyDescent="0.25">
      <c r="A798" s="22"/>
      <c r="B798" s="5"/>
      <c r="C798" s="5"/>
      <c r="D798" s="5"/>
      <c r="E798" s="5"/>
      <c r="F798" s="5"/>
      <c r="G798" s="5"/>
      <c r="H798" s="23"/>
      <c r="I798" s="23"/>
      <c r="J798" s="5"/>
      <c r="K798" s="31">
        <f t="shared" si="60"/>
      </c>
      <c r="L798" s="32">
        <f>IF($A798="","",C798*SUMIFS(Settings!$B$21:$B$25,Settings!$A$21:$A$25,SUMPRODUCT(MAX((Settings!$A$21:$A$25&lt;=$A798)*Settings!$A$21:$A$25)))+D798*SUMIFS(Settings!$C$21:$C$25,Settings!$A$21:$A$25,SUMPRODUCT(MAX((Settings!$A$21:$A$25&lt;=$A798)*Settings!$A$21:$A$25))))</f>
      </c>
      <c r="M798" s="32">
        <f>IF($A798="","",L798*IFERROR(INDEX(Settings!$B$30:$B$36,MATCH($B798,Settings!$A$30:$A$36,0)),0))</f>
      </c>
      <c r="N798" s="32">
        <f t="shared" si="61"/>
      </c>
      <c r="O798" s="33">
        <f t="shared" si="62"/>
      </c>
      <c r="P798" s="32">
        <f t="shared" si="63"/>
      </c>
      <c r="Q798" s="33">
        <f t="shared" si="64"/>
      </c>
    </row>
    <row r="799" spans="1:17" x14ac:dyDescent="0.25">
      <c r="A799" s="22"/>
      <c r="B799" s="5"/>
      <c r="C799" s="5"/>
      <c r="D799" s="5"/>
      <c r="E799" s="5"/>
      <c r="F799" s="5"/>
      <c r="G799" s="5"/>
      <c r="H799" s="23"/>
      <c r="I799" s="23"/>
      <c r="J799" s="5"/>
      <c r="K799" s="31">
        <f t="shared" si="60"/>
      </c>
      <c r="L799" s="32">
        <f>IF($A799="","",C799*SUMIFS(Settings!$B$21:$B$25,Settings!$A$21:$A$25,SUMPRODUCT(MAX((Settings!$A$21:$A$25&lt;=$A799)*Settings!$A$21:$A$25)))+D799*SUMIFS(Settings!$C$21:$C$25,Settings!$A$21:$A$25,SUMPRODUCT(MAX((Settings!$A$21:$A$25&lt;=$A799)*Settings!$A$21:$A$25))))</f>
      </c>
      <c r="M799" s="32">
        <f>IF($A799="","",L799*IFERROR(INDEX(Settings!$B$30:$B$36,MATCH($B799,Settings!$A$30:$A$36,0)),0))</f>
      </c>
      <c r="N799" s="32">
        <f t="shared" si="61"/>
      </c>
      <c r="O799" s="33">
        <f t="shared" si="62"/>
      </c>
      <c r="P799" s="32">
        <f t="shared" si="63"/>
      </c>
      <c r="Q799" s="33">
        <f t="shared" si="64"/>
      </c>
    </row>
    <row r="800" spans="1:17" x14ac:dyDescent="0.25">
      <c r="A800" s="22"/>
      <c r="B800" s="5"/>
      <c r="C800" s="5"/>
      <c r="D800" s="5"/>
      <c r="E800" s="5"/>
      <c r="F800" s="5"/>
      <c r="G800" s="5"/>
      <c r="H800" s="23"/>
      <c r="I800" s="23"/>
      <c r="J800" s="5"/>
      <c r="K800" s="31">
        <f t="shared" si="60"/>
      </c>
      <c r="L800" s="32">
        <f>IF($A800="","",C800*SUMIFS(Settings!$B$21:$B$25,Settings!$A$21:$A$25,SUMPRODUCT(MAX((Settings!$A$21:$A$25&lt;=$A800)*Settings!$A$21:$A$25)))+D800*SUMIFS(Settings!$C$21:$C$25,Settings!$A$21:$A$25,SUMPRODUCT(MAX((Settings!$A$21:$A$25&lt;=$A800)*Settings!$A$21:$A$25))))</f>
      </c>
      <c r="M800" s="32">
        <f>IF($A800="","",L800*IFERROR(INDEX(Settings!$B$30:$B$36,MATCH($B800,Settings!$A$30:$A$36,0)),0))</f>
      </c>
      <c r="N800" s="32">
        <f t="shared" si="61"/>
      </c>
      <c r="O800" s="33">
        <f t="shared" si="62"/>
      </c>
      <c r="P800" s="32">
        <f t="shared" si="63"/>
      </c>
      <c r="Q800" s="33">
        <f t="shared" si="64"/>
      </c>
    </row>
    <row r="801" spans="1:17" x14ac:dyDescent="0.25">
      <c r="A801" s="22"/>
      <c r="B801" s="5"/>
      <c r="C801" s="5"/>
      <c r="D801" s="5"/>
      <c r="E801" s="5"/>
      <c r="F801" s="5"/>
      <c r="G801" s="5"/>
      <c r="H801" s="23"/>
      <c r="I801" s="23"/>
      <c r="J801" s="5"/>
      <c r="K801" s="31">
        <f t="shared" si="60"/>
      </c>
      <c r="L801" s="32">
        <f>IF($A801="","",C801*SUMIFS(Settings!$B$21:$B$25,Settings!$A$21:$A$25,SUMPRODUCT(MAX((Settings!$A$21:$A$25&lt;=$A801)*Settings!$A$21:$A$25)))+D801*SUMIFS(Settings!$C$21:$C$25,Settings!$A$21:$A$25,SUMPRODUCT(MAX((Settings!$A$21:$A$25&lt;=$A801)*Settings!$A$21:$A$25))))</f>
      </c>
      <c r="M801" s="32">
        <f>IF($A801="","",L801*IFERROR(INDEX(Settings!$B$30:$B$36,MATCH($B801,Settings!$A$30:$A$36,0)),0))</f>
      </c>
      <c r="N801" s="32">
        <f t="shared" si="61"/>
      </c>
      <c r="O801" s="33">
        <f t="shared" si="62"/>
      </c>
      <c r="P801" s="32">
        <f t="shared" si="63"/>
      </c>
      <c r="Q801" s="33">
        <f t="shared" si="64"/>
      </c>
    </row>
    <row r="802" spans="1:17" x14ac:dyDescent="0.25">
      <c r="A802" s="22"/>
      <c r="B802" s="5"/>
      <c r="C802" s="5"/>
      <c r="D802" s="5"/>
      <c r="E802" s="5"/>
      <c r="F802" s="5"/>
      <c r="G802" s="5"/>
      <c r="H802" s="23"/>
      <c r="I802" s="23"/>
      <c r="J802" s="5"/>
      <c r="K802" s="31">
        <f t="shared" si="60"/>
      </c>
      <c r="L802" s="32">
        <f>IF($A802="","",C802*SUMIFS(Settings!$B$21:$B$25,Settings!$A$21:$A$25,SUMPRODUCT(MAX((Settings!$A$21:$A$25&lt;=$A802)*Settings!$A$21:$A$25)))+D802*SUMIFS(Settings!$C$21:$C$25,Settings!$A$21:$A$25,SUMPRODUCT(MAX((Settings!$A$21:$A$25&lt;=$A802)*Settings!$A$21:$A$25))))</f>
      </c>
      <c r="M802" s="32">
        <f>IF($A802="","",L802*IFERROR(INDEX(Settings!$B$30:$B$36,MATCH($B802,Settings!$A$30:$A$36,0)),0))</f>
      </c>
      <c r="N802" s="32">
        <f t="shared" si="61"/>
      </c>
      <c r="O802" s="33">
        <f t="shared" si="62"/>
      </c>
      <c r="P802" s="32">
        <f t="shared" si="63"/>
      </c>
      <c r="Q802" s="33">
        <f t="shared" si="64"/>
      </c>
    </row>
    <row r="803" spans="1:17" x14ac:dyDescent="0.25">
      <c r="A803" s="22"/>
      <c r="B803" s="5"/>
      <c r="C803" s="5"/>
      <c r="D803" s="5"/>
      <c r="E803" s="5"/>
      <c r="F803" s="5"/>
      <c r="G803" s="5"/>
      <c r="H803" s="23"/>
      <c r="I803" s="23"/>
      <c r="J803" s="5"/>
      <c r="K803" s="31">
        <f t="shared" si="60"/>
      </c>
      <c r="L803" s="32">
        <f>IF($A803="","",C803*SUMIFS(Settings!$B$21:$B$25,Settings!$A$21:$A$25,SUMPRODUCT(MAX((Settings!$A$21:$A$25&lt;=$A803)*Settings!$A$21:$A$25)))+D803*SUMIFS(Settings!$C$21:$C$25,Settings!$A$21:$A$25,SUMPRODUCT(MAX((Settings!$A$21:$A$25&lt;=$A803)*Settings!$A$21:$A$25))))</f>
      </c>
      <c r="M803" s="32">
        <f>IF($A803="","",L803*IFERROR(INDEX(Settings!$B$30:$B$36,MATCH($B803,Settings!$A$30:$A$36,0)),0))</f>
      </c>
      <c r="N803" s="32">
        <f t="shared" si="61"/>
      </c>
      <c r="O803" s="33">
        <f t="shared" si="62"/>
      </c>
      <c r="P803" s="32">
        <f t="shared" si="63"/>
      </c>
      <c r="Q803" s="33">
        <f t="shared" si="64"/>
      </c>
    </row>
    <row r="804" spans="1:17" x14ac:dyDescent="0.25">
      <c r="A804" s="22"/>
      <c r="B804" s="5"/>
      <c r="C804" s="5"/>
      <c r="D804" s="5"/>
      <c r="E804" s="5"/>
      <c r="F804" s="5"/>
      <c r="G804" s="5"/>
      <c r="H804" s="23"/>
      <c r="I804" s="23"/>
      <c r="J804" s="5"/>
      <c r="K804" s="31">
        <f t="shared" si="60"/>
      </c>
      <c r="L804" s="32">
        <f>IF($A804="","",C804*SUMIFS(Settings!$B$21:$B$25,Settings!$A$21:$A$25,SUMPRODUCT(MAX((Settings!$A$21:$A$25&lt;=$A804)*Settings!$A$21:$A$25)))+D804*SUMIFS(Settings!$C$21:$C$25,Settings!$A$21:$A$25,SUMPRODUCT(MAX((Settings!$A$21:$A$25&lt;=$A804)*Settings!$A$21:$A$25))))</f>
      </c>
      <c r="M804" s="32">
        <f>IF($A804="","",L804*IFERROR(INDEX(Settings!$B$30:$B$36,MATCH($B804,Settings!$A$30:$A$36,0)),0))</f>
      </c>
      <c r="N804" s="32">
        <f t="shared" si="61"/>
      </c>
      <c r="O804" s="33">
        <f t="shared" si="62"/>
      </c>
      <c r="P804" s="32">
        <f t="shared" si="63"/>
      </c>
      <c r="Q804" s="33">
        <f t="shared" si="64"/>
      </c>
    </row>
    <row r="805" spans="1:17" x14ac:dyDescent="0.25">
      <c r="A805" s="22"/>
      <c r="B805" s="5"/>
      <c r="C805" s="5"/>
      <c r="D805" s="5"/>
      <c r="E805" s="5"/>
      <c r="F805" s="5"/>
      <c r="G805" s="5"/>
      <c r="H805" s="23"/>
      <c r="I805" s="23"/>
      <c r="J805" s="5"/>
      <c r="K805" s="31">
        <f t="shared" si="60"/>
      </c>
      <c r="L805" s="32">
        <f>IF($A805="","",C805*SUMIFS(Settings!$B$21:$B$25,Settings!$A$21:$A$25,SUMPRODUCT(MAX((Settings!$A$21:$A$25&lt;=$A805)*Settings!$A$21:$A$25)))+D805*SUMIFS(Settings!$C$21:$C$25,Settings!$A$21:$A$25,SUMPRODUCT(MAX((Settings!$A$21:$A$25&lt;=$A805)*Settings!$A$21:$A$25))))</f>
      </c>
      <c r="M805" s="32">
        <f>IF($A805="","",L805*IFERROR(INDEX(Settings!$B$30:$B$36,MATCH($B805,Settings!$A$30:$A$36,0)),0))</f>
      </c>
      <c r="N805" s="32">
        <f t="shared" si="61"/>
      </c>
      <c r="O805" s="33">
        <f t="shared" si="62"/>
      </c>
      <c r="P805" s="32">
        <f t="shared" si="63"/>
      </c>
      <c r="Q805" s="33">
        <f t="shared" si="64"/>
      </c>
    </row>
    <row r="806" spans="1:17" x14ac:dyDescent="0.25">
      <c r="A806" s="22"/>
      <c r="B806" s="5"/>
      <c r="C806" s="5"/>
      <c r="D806" s="5"/>
      <c r="E806" s="5"/>
      <c r="F806" s="5"/>
      <c r="G806" s="5"/>
      <c r="H806" s="23"/>
      <c r="I806" s="23"/>
      <c r="J806" s="5"/>
      <c r="K806" s="31">
        <f t="shared" si="60"/>
      </c>
      <c r="L806" s="32">
        <f>IF($A806="","",C806*SUMIFS(Settings!$B$21:$B$25,Settings!$A$21:$A$25,SUMPRODUCT(MAX((Settings!$A$21:$A$25&lt;=$A806)*Settings!$A$21:$A$25)))+D806*SUMIFS(Settings!$C$21:$C$25,Settings!$A$21:$A$25,SUMPRODUCT(MAX((Settings!$A$21:$A$25&lt;=$A806)*Settings!$A$21:$A$25))))</f>
      </c>
      <c r="M806" s="32">
        <f>IF($A806="","",L806*IFERROR(INDEX(Settings!$B$30:$B$36,MATCH($B806,Settings!$A$30:$A$36,0)),0))</f>
      </c>
      <c r="N806" s="32">
        <f t="shared" si="61"/>
      </c>
      <c r="O806" s="33">
        <f t="shared" si="62"/>
      </c>
      <c r="P806" s="32">
        <f t="shared" si="63"/>
      </c>
      <c r="Q806" s="33">
        <f t="shared" si="64"/>
      </c>
    </row>
    <row r="807" spans="1:17" x14ac:dyDescent="0.25">
      <c r="A807" s="22"/>
      <c r="B807" s="5"/>
      <c r="C807" s="5"/>
      <c r="D807" s="5"/>
      <c r="E807" s="5"/>
      <c r="F807" s="5"/>
      <c r="G807" s="5"/>
      <c r="H807" s="23"/>
      <c r="I807" s="23"/>
      <c r="J807" s="5"/>
      <c r="K807" s="31">
        <f t="shared" si="60"/>
      </c>
      <c r="L807" s="32">
        <f>IF($A807="","",C807*SUMIFS(Settings!$B$21:$B$25,Settings!$A$21:$A$25,SUMPRODUCT(MAX((Settings!$A$21:$A$25&lt;=$A807)*Settings!$A$21:$A$25)))+D807*SUMIFS(Settings!$C$21:$C$25,Settings!$A$21:$A$25,SUMPRODUCT(MAX((Settings!$A$21:$A$25&lt;=$A807)*Settings!$A$21:$A$25))))</f>
      </c>
      <c r="M807" s="32">
        <f>IF($A807="","",L807*IFERROR(INDEX(Settings!$B$30:$B$36,MATCH($B807,Settings!$A$30:$A$36,0)),0))</f>
      </c>
      <c r="N807" s="32">
        <f t="shared" si="61"/>
      </c>
      <c r="O807" s="33">
        <f t="shared" si="62"/>
      </c>
      <c r="P807" s="32">
        <f t="shared" si="63"/>
      </c>
      <c r="Q807" s="33">
        <f t="shared" si="64"/>
      </c>
    </row>
    <row r="808" spans="1:17" x14ac:dyDescent="0.25">
      <c r="A808" s="22"/>
      <c r="B808" s="5"/>
      <c r="C808" s="5"/>
      <c r="D808" s="5"/>
      <c r="E808" s="5"/>
      <c r="F808" s="5"/>
      <c r="G808" s="5"/>
      <c r="H808" s="23"/>
      <c r="I808" s="23"/>
      <c r="J808" s="5"/>
      <c r="K808" s="31">
        <f t="shared" si="60"/>
      </c>
      <c r="L808" s="32">
        <f>IF($A808="","",C808*SUMIFS(Settings!$B$21:$B$25,Settings!$A$21:$A$25,SUMPRODUCT(MAX((Settings!$A$21:$A$25&lt;=$A808)*Settings!$A$21:$A$25)))+D808*SUMIFS(Settings!$C$21:$C$25,Settings!$A$21:$A$25,SUMPRODUCT(MAX((Settings!$A$21:$A$25&lt;=$A808)*Settings!$A$21:$A$25))))</f>
      </c>
      <c r="M808" s="32">
        <f>IF($A808="","",L808*IFERROR(INDEX(Settings!$B$30:$B$36,MATCH($B808,Settings!$A$30:$A$36,0)),0))</f>
      </c>
      <c r="N808" s="32">
        <f t="shared" si="61"/>
      </c>
      <c r="O808" s="33">
        <f t="shared" si="62"/>
      </c>
      <c r="P808" s="32">
        <f t="shared" si="63"/>
      </c>
      <c r="Q808" s="33">
        <f t="shared" si="64"/>
      </c>
    </row>
    <row r="809" spans="1:17" x14ac:dyDescent="0.25">
      <c r="A809" s="22"/>
      <c r="B809" s="5"/>
      <c r="C809" s="5"/>
      <c r="D809" s="5"/>
      <c r="E809" s="5"/>
      <c r="F809" s="5"/>
      <c r="G809" s="5"/>
      <c r="H809" s="23"/>
      <c r="I809" s="23"/>
      <c r="J809" s="5"/>
      <c r="K809" s="31">
        <f t="shared" si="60"/>
      </c>
      <c r="L809" s="32">
        <f>IF($A809="","",C809*SUMIFS(Settings!$B$21:$B$25,Settings!$A$21:$A$25,SUMPRODUCT(MAX((Settings!$A$21:$A$25&lt;=$A809)*Settings!$A$21:$A$25)))+D809*SUMIFS(Settings!$C$21:$C$25,Settings!$A$21:$A$25,SUMPRODUCT(MAX((Settings!$A$21:$A$25&lt;=$A809)*Settings!$A$21:$A$25))))</f>
      </c>
      <c r="M809" s="32">
        <f>IF($A809="","",L809*IFERROR(INDEX(Settings!$B$30:$B$36,MATCH($B809,Settings!$A$30:$A$36,0)),0))</f>
      </c>
      <c r="N809" s="32">
        <f t="shared" si="61"/>
      </c>
      <c r="O809" s="33">
        <f t="shared" si="62"/>
      </c>
      <c r="P809" s="32">
        <f t="shared" si="63"/>
      </c>
      <c r="Q809" s="33">
        <f t="shared" si="64"/>
      </c>
    </row>
    <row r="810" spans="1:17" x14ac:dyDescent="0.25">
      <c r="A810" s="22"/>
      <c r="B810" s="5"/>
      <c r="C810" s="5"/>
      <c r="D810" s="5"/>
      <c r="E810" s="5"/>
      <c r="F810" s="5"/>
      <c r="G810" s="5"/>
      <c r="H810" s="23"/>
      <c r="I810" s="23"/>
      <c r="J810" s="5"/>
      <c r="K810" s="31">
        <f t="shared" si="60"/>
      </c>
      <c r="L810" s="32">
        <f>IF($A810="","",C810*SUMIFS(Settings!$B$21:$B$25,Settings!$A$21:$A$25,SUMPRODUCT(MAX((Settings!$A$21:$A$25&lt;=$A810)*Settings!$A$21:$A$25)))+D810*SUMIFS(Settings!$C$21:$C$25,Settings!$A$21:$A$25,SUMPRODUCT(MAX((Settings!$A$21:$A$25&lt;=$A810)*Settings!$A$21:$A$25))))</f>
      </c>
      <c r="M810" s="32">
        <f>IF($A810="","",L810*IFERROR(INDEX(Settings!$B$30:$B$36,MATCH($B810,Settings!$A$30:$A$36,0)),0))</f>
      </c>
      <c r="N810" s="32">
        <f t="shared" si="61"/>
      </c>
      <c r="O810" s="33">
        <f t="shared" si="62"/>
      </c>
      <c r="P810" s="32">
        <f t="shared" si="63"/>
      </c>
      <c r="Q810" s="33">
        <f t="shared" si="64"/>
      </c>
    </row>
    <row r="811" spans="1:17" x14ac:dyDescent="0.25">
      <c r="A811" s="22"/>
      <c r="B811" s="5"/>
      <c r="C811" s="5"/>
      <c r="D811" s="5"/>
      <c r="E811" s="5"/>
      <c r="F811" s="5"/>
      <c r="G811" s="5"/>
      <c r="H811" s="23"/>
      <c r="I811" s="23"/>
      <c r="J811" s="5"/>
      <c r="K811" s="31">
        <f t="shared" si="60"/>
      </c>
      <c r="L811" s="32">
        <f>IF($A811="","",C811*SUMIFS(Settings!$B$21:$B$25,Settings!$A$21:$A$25,SUMPRODUCT(MAX((Settings!$A$21:$A$25&lt;=$A811)*Settings!$A$21:$A$25)))+D811*SUMIFS(Settings!$C$21:$C$25,Settings!$A$21:$A$25,SUMPRODUCT(MAX((Settings!$A$21:$A$25&lt;=$A811)*Settings!$A$21:$A$25))))</f>
      </c>
      <c r="M811" s="32">
        <f>IF($A811="","",L811*IFERROR(INDEX(Settings!$B$30:$B$36,MATCH($B811,Settings!$A$30:$A$36,0)),0))</f>
      </c>
      <c r="N811" s="32">
        <f t="shared" si="61"/>
      </c>
      <c r="O811" s="33">
        <f t="shared" si="62"/>
      </c>
      <c r="P811" s="32">
        <f t="shared" si="63"/>
      </c>
      <c r="Q811" s="33">
        <f t="shared" si="64"/>
      </c>
    </row>
    <row r="812" spans="1:17" x14ac:dyDescent="0.25">
      <c r="A812" s="22"/>
      <c r="B812" s="5"/>
      <c r="C812" s="5"/>
      <c r="D812" s="5"/>
      <c r="E812" s="5"/>
      <c r="F812" s="5"/>
      <c r="G812" s="5"/>
      <c r="H812" s="23"/>
      <c r="I812" s="23"/>
      <c r="J812" s="5"/>
      <c r="K812" s="31">
        <f t="shared" si="60"/>
      </c>
      <c r="L812" s="32">
        <f>IF($A812="","",C812*SUMIFS(Settings!$B$21:$B$25,Settings!$A$21:$A$25,SUMPRODUCT(MAX((Settings!$A$21:$A$25&lt;=$A812)*Settings!$A$21:$A$25)))+D812*SUMIFS(Settings!$C$21:$C$25,Settings!$A$21:$A$25,SUMPRODUCT(MAX((Settings!$A$21:$A$25&lt;=$A812)*Settings!$A$21:$A$25))))</f>
      </c>
      <c r="M812" s="32">
        <f>IF($A812="","",L812*IFERROR(INDEX(Settings!$B$30:$B$36,MATCH($B812,Settings!$A$30:$A$36,0)),0))</f>
      </c>
      <c r="N812" s="32">
        <f t="shared" si="61"/>
      </c>
      <c r="O812" s="33">
        <f t="shared" si="62"/>
      </c>
      <c r="P812" s="32">
        <f t="shared" si="63"/>
      </c>
      <c r="Q812" s="33">
        <f t="shared" si="64"/>
      </c>
    </row>
    <row r="813" spans="1:17" x14ac:dyDescent="0.25">
      <c r="A813" s="22"/>
      <c r="B813" s="5"/>
      <c r="C813" s="5"/>
      <c r="D813" s="5"/>
      <c r="E813" s="5"/>
      <c r="F813" s="5"/>
      <c r="G813" s="5"/>
      <c r="H813" s="23"/>
      <c r="I813" s="23"/>
      <c r="J813" s="5"/>
      <c r="K813" s="31">
        <f t="shared" si="60"/>
      </c>
      <c r="L813" s="32">
        <f>IF($A813="","",C813*SUMIFS(Settings!$B$21:$B$25,Settings!$A$21:$A$25,SUMPRODUCT(MAX((Settings!$A$21:$A$25&lt;=$A813)*Settings!$A$21:$A$25)))+D813*SUMIFS(Settings!$C$21:$C$25,Settings!$A$21:$A$25,SUMPRODUCT(MAX((Settings!$A$21:$A$25&lt;=$A813)*Settings!$A$21:$A$25))))</f>
      </c>
      <c r="M813" s="32">
        <f>IF($A813="","",L813*IFERROR(INDEX(Settings!$B$30:$B$36,MATCH($B813,Settings!$A$30:$A$36,0)),0))</f>
      </c>
      <c r="N813" s="32">
        <f t="shared" si="61"/>
      </c>
      <c r="O813" s="33">
        <f t="shared" si="62"/>
      </c>
      <c r="P813" s="32">
        <f t="shared" si="63"/>
      </c>
      <c r="Q813" s="33">
        <f t="shared" si="64"/>
      </c>
    </row>
    <row r="814" spans="1:17" x14ac:dyDescent="0.25">
      <c r="A814" s="22"/>
      <c r="B814" s="5"/>
      <c r="C814" s="5"/>
      <c r="D814" s="5"/>
      <c r="E814" s="5"/>
      <c r="F814" s="5"/>
      <c r="G814" s="5"/>
      <c r="H814" s="23"/>
      <c r="I814" s="23"/>
      <c r="J814" s="5"/>
      <c r="K814" s="31">
        <f t="shared" si="60"/>
      </c>
      <c r="L814" s="32">
        <f>IF($A814="","",C814*SUMIFS(Settings!$B$21:$B$25,Settings!$A$21:$A$25,SUMPRODUCT(MAX((Settings!$A$21:$A$25&lt;=$A814)*Settings!$A$21:$A$25)))+D814*SUMIFS(Settings!$C$21:$C$25,Settings!$A$21:$A$25,SUMPRODUCT(MAX((Settings!$A$21:$A$25&lt;=$A814)*Settings!$A$21:$A$25))))</f>
      </c>
      <c r="M814" s="32">
        <f>IF($A814="","",L814*IFERROR(INDEX(Settings!$B$30:$B$36,MATCH($B814,Settings!$A$30:$A$36,0)),0))</f>
      </c>
      <c r="N814" s="32">
        <f t="shared" si="61"/>
      </c>
      <c r="O814" s="33">
        <f t="shared" si="62"/>
      </c>
      <c r="P814" s="32">
        <f t="shared" si="63"/>
      </c>
      <c r="Q814" s="33">
        <f t="shared" si="64"/>
      </c>
    </row>
    <row r="815" spans="1:17" x14ac:dyDescent="0.25">
      <c r="A815" s="22"/>
      <c r="B815" s="5"/>
      <c r="C815" s="5"/>
      <c r="D815" s="5"/>
      <c r="E815" s="5"/>
      <c r="F815" s="5"/>
      <c r="G815" s="5"/>
      <c r="H815" s="23"/>
      <c r="I815" s="23"/>
      <c r="J815" s="5"/>
      <c r="K815" s="31">
        <f t="shared" si="60"/>
      </c>
      <c r="L815" s="32">
        <f>IF($A815="","",C815*SUMIFS(Settings!$B$21:$B$25,Settings!$A$21:$A$25,SUMPRODUCT(MAX((Settings!$A$21:$A$25&lt;=$A815)*Settings!$A$21:$A$25)))+D815*SUMIFS(Settings!$C$21:$C$25,Settings!$A$21:$A$25,SUMPRODUCT(MAX((Settings!$A$21:$A$25&lt;=$A815)*Settings!$A$21:$A$25))))</f>
      </c>
      <c r="M815" s="32">
        <f>IF($A815="","",L815*IFERROR(INDEX(Settings!$B$30:$B$36,MATCH($B815,Settings!$A$30:$A$36,0)),0))</f>
      </c>
      <c r="N815" s="32">
        <f t="shared" si="61"/>
      </c>
      <c r="O815" s="33">
        <f t="shared" si="62"/>
      </c>
      <c r="P815" s="32">
        <f t="shared" si="63"/>
      </c>
      <c r="Q815" s="33">
        <f t="shared" si="64"/>
      </c>
    </row>
    <row r="816" spans="1:17" x14ac:dyDescent="0.25">
      <c r="A816" s="22"/>
      <c r="B816" s="5"/>
      <c r="C816" s="5"/>
      <c r="D816" s="5"/>
      <c r="E816" s="5"/>
      <c r="F816" s="5"/>
      <c r="G816" s="5"/>
      <c r="H816" s="23"/>
      <c r="I816" s="23"/>
      <c r="J816" s="5"/>
      <c r="K816" s="31">
        <f t="shared" si="60"/>
      </c>
      <c r="L816" s="32">
        <f>IF($A816="","",C816*SUMIFS(Settings!$B$21:$B$25,Settings!$A$21:$A$25,SUMPRODUCT(MAX((Settings!$A$21:$A$25&lt;=$A816)*Settings!$A$21:$A$25)))+D816*SUMIFS(Settings!$C$21:$C$25,Settings!$A$21:$A$25,SUMPRODUCT(MAX((Settings!$A$21:$A$25&lt;=$A816)*Settings!$A$21:$A$25))))</f>
      </c>
      <c r="M816" s="32">
        <f>IF($A816="","",L816*IFERROR(INDEX(Settings!$B$30:$B$36,MATCH($B816,Settings!$A$30:$A$36,0)),0))</f>
      </c>
      <c r="N816" s="32">
        <f t="shared" si="61"/>
      </c>
      <c r="O816" s="33">
        <f t="shared" si="62"/>
      </c>
      <c r="P816" s="32">
        <f t="shared" si="63"/>
      </c>
      <c r="Q816" s="33">
        <f t="shared" si="64"/>
      </c>
    </row>
    <row r="817" spans="1:17" x14ac:dyDescent="0.25">
      <c r="A817" s="22"/>
      <c r="B817" s="5"/>
      <c r="C817" s="5"/>
      <c r="D817" s="5"/>
      <c r="E817" s="5"/>
      <c r="F817" s="5"/>
      <c r="G817" s="5"/>
      <c r="H817" s="23"/>
      <c r="I817" s="23"/>
      <c r="J817" s="5"/>
      <c r="K817" s="31">
        <f t="shared" si="60"/>
      </c>
      <c r="L817" s="32">
        <f>IF($A817="","",C817*SUMIFS(Settings!$B$21:$B$25,Settings!$A$21:$A$25,SUMPRODUCT(MAX((Settings!$A$21:$A$25&lt;=$A817)*Settings!$A$21:$A$25)))+D817*SUMIFS(Settings!$C$21:$C$25,Settings!$A$21:$A$25,SUMPRODUCT(MAX((Settings!$A$21:$A$25&lt;=$A817)*Settings!$A$21:$A$25))))</f>
      </c>
      <c r="M817" s="32">
        <f>IF($A817="","",L817*IFERROR(INDEX(Settings!$B$30:$B$36,MATCH($B817,Settings!$A$30:$A$36,0)),0))</f>
      </c>
      <c r="N817" s="32">
        <f t="shared" si="61"/>
      </c>
      <c r="O817" s="33">
        <f t="shared" si="62"/>
      </c>
      <c r="P817" s="32">
        <f t="shared" si="63"/>
      </c>
      <c r="Q817" s="33">
        <f t="shared" si="64"/>
      </c>
    </row>
    <row r="818" spans="1:17" x14ac:dyDescent="0.25">
      <c r="A818" s="22"/>
      <c r="B818" s="5"/>
      <c r="C818" s="5"/>
      <c r="D818" s="5"/>
      <c r="E818" s="5"/>
      <c r="F818" s="5"/>
      <c r="G818" s="5"/>
      <c r="H818" s="23"/>
      <c r="I818" s="23"/>
      <c r="J818" s="5"/>
      <c r="K818" s="31">
        <f t="shared" si="60"/>
      </c>
      <c r="L818" s="32">
        <f>IF($A818="","",C818*SUMIFS(Settings!$B$21:$B$25,Settings!$A$21:$A$25,SUMPRODUCT(MAX((Settings!$A$21:$A$25&lt;=$A818)*Settings!$A$21:$A$25)))+D818*SUMIFS(Settings!$C$21:$C$25,Settings!$A$21:$A$25,SUMPRODUCT(MAX((Settings!$A$21:$A$25&lt;=$A818)*Settings!$A$21:$A$25))))</f>
      </c>
      <c r="M818" s="32">
        <f>IF($A818="","",L818*IFERROR(INDEX(Settings!$B$30:$B$36,MATCH($B818,Settings!$A$30:$A$36,0)),0))</f>
      </c>
      <c r="N818" s="32">
        <f t="shared" si="61"/>
      </c>
      <c r="O818" s="33">
        <f t="shared" si="62"/>
      </c>
      <c r="P818" s="32">
        <f t="shared" si="63"/>
      </c>
      <c r="Q818" s="33">
        <f t="shared" si="64"/>
      </c>
    </row>
    <row r="819" spans="1:17" x14ac:dyDescent="0.25">
      <c r="A819" s="22"/>
      <c r="B819" s="5"/>
      <c r="C819" s="5"/>
      <c r="D819" s="5"/>
      <c r="E819" s="5"/>
      <c r="F819" s="5"/>
      <c r="G819" s="5"/>
      <c r="H819" s="23"/>
      <c r="I819" s="23"/>
      <c r="J819" s="5"/>
      <c r="K819" s="31">
        <f t="shared" si="60"/>
      </c>
      <c r="L819" s="32">
        <f>IF($A819="","",C819*SUMIFS(Settings!$B$21:$B$25,Settings!$A$21:$A$25,SUMPRODUCT(MAX((Settings!$A$21:$A$25&lt;=$A819)*Settings!$A$21:$A$25)))+D819*SUMIFS(Settings!$C$21:$C$25,Settings!$A$21:$A$25,SUMPRODUCT(MAX((Settings!$A$21:$A$25&lt;=$A819)*Settings!$A$21:$A$25))))</f>
      </c>
      <c r="M819" s="32">
        <f>IF($A819="","",L819*IFERROR(INDEX(Settings!$B$30:$B$36,MATCH($B819,Settings!$A$30:$A$36,0)),0))</f>
      </c>
      <c r="N819" s="32">
        <f t="shared" si="61"/>
      </c>
      <c r="O819" s="33">
        <f t="shared" si="62"/>
      </c>
      <c r="P819" s="32">
        <f t="shared" si="63"/>
      </c>
      <c r="Q819" s="33">
        <f t="shared" si="64"/>
      </c>
    </row>
    <row r="820" spans="1:17" x14ac:dyDescent="0.25">
      <c r="A820" s="22"/>
      <c r="B820" s="5"/>
      <c r="C820" s="5"/>
      <c r="D820" s="5"/>
      <c r="E820" s="5"/>
      <c r="F820" s="5"/>
      <c r="G820" s="5"/>
      <c r="H820" s="23"/>
      <c r="I820" s="23"/>
      <c r="J820" s="5"/>
      <c r="K820" s="31">
        <f t="shared" si="60"/>
      </c>
      <c r="L820" s="32">
        <f>IF($A820="","",C820*SUMIFS(Settings!$B$21:$B$25,Settings!$A$21:$A$25,SUMPRODUCT(MAX((Settings!$A$21:$A$25&lt;=$A820)*Settings!$A$21:$A$25)))+D820*SUMIFS(Settings!$C$21:$C$25,Settings!$A$21:$A$25,SUMPRODUCT(MAX((Settings!$A$21:$A$25&lt;=$A820)*Settings!$A$21:$A$25))))</f>
      </c>
      <c r="M820" s="32">
        <f>IF($A820="","",L820*IFERROR(INDEX(Settings!$B$30:$B$36,MATCH($B820,Settings!$A$30:$A$36,0)),0))</f>
      </c>
      <c r="N820" s="32">
        <f t="shared" si="61"/>
      </c>
      <c r="O820" s="33">
        <f t="shared" si="62"/>
      </c>
      <c r="P820" s="32">
        <f t="shared" si="63"/>
      </c>
      <c r="Q820" s="33">
        <f t="shared" si="64"/>
      </c>
    </row>
    <row r="821" spans="1:17" x14ac:dyDescent="0.25">
      <c r="A821" s="22"/>
      <c r="B821" s="5"/>
      <c r="C821" s="5"/>
      <c r="D821" s="5"/>
      <c r="E821" s="5"/>
      <c r="F821" s="5"/>
      <c r="G821" s="5"/>
      <c r="H821" s="23"/>
      <c r="I821" s="23"/>
      <c r="J821" s="5"/>
      <c r="K821" s="31">
        <f t="shared" si="60"/>
      </c>
      <c r="L821" s="32">
        <f>IF($A821="","",C821*SUMIFS(Settings!$B$21:$B$25,Settings!$A$21:$A$25,SUMPRODUCT(MAX((Settings!$A$21:$A$25&lt;=$A821)*Settings!$A$21:$A$25)))+D821*SUMIFS(Settings!$C$21:$C$25,Settings!$A$21:$A$25,SUMPRODUCT(MAX((Settings!$A$21:$A$25&lt;=$A821)*Settings!$A$21:$A$25))))</f>
      </c>
      <c r="M821" s="32">
        <f>IF($A821="","",L821*IFERROR(INDEX(Settings!$B$30:$B$36,MATCH($B821,Settings!$A$30:$A$36,0)),0))</f>
      </c>
      <c r="N821" s="32">
        <f t="shared" si="61"/>
      </c>
      <c r="O821" s="33">
        <f t="shared" si="62"/>
      </c>
      <c r="P821" s="32">
        <f t="shared" si="63"/>
      </c>
      <c r="Q821" s="33">
        <f t="shared" si="64"/>
      </c>
    </row>
    <row r="822" spans="1:17" x14ac:dyDescent="0.25">
      <c r="A822" s="22"/>
      <c r="B822" s="5"/>
      <c r="C822" s="5"/>
      <c r="D822" s="5"/>
      <c r="E822" s="5"/>
      <c r="F822" s="5"/>
      <c r="G822" s="5"/>
      <c r="H822" s="23"/>
      <c r="I822" s="23"/>
      <c r="J822" s="5"/>
      <c r="K822" s="31">
        <f t="shared" si="60"/>
      </c>
      <c r="L822" s="32">
        <f>IF($A822="","",C822*SUMIFS(Settings!$B$21:$B$25,Settings!$A$21:$A$25,SUMPRODUCT(MAX((Settings!$A$21:$A$25&lt;=$A822)*Settings!$A$21:$A$25)))+D822*SUMIFS(Settings!$C$21:$C$25,Settings!$A$21:$A$25,SUMPRODUCT(MAX((Settings!$A$21:$A$25&lt;=$A822)*Settings!$A$21:$A$25))))</f>
      </c>
      <c r="M822" s="32">
        <f>IF($A822="","",L822*IFERROR(INDEX(Settings!$B$30:$B$36,MATCH($B822,Settings!$A$30:$A$36,0)),0))</f>
      </c>
      <c r="N822" s="32">
        <f t="shared" si="61"/>
      </c>
      <c r="O822" s="33">
        <f t="shared" si="62"/>
      </c>
      <c r="P822" s="32">
        <f t="shared" si="63"/>
      </c>
      <c r="Q822" s="33">
        <f t="shared" si="64"/>
      </c>
    </row>
    <row r="823" spans="1:17" x14ac:dyDescent="0.25">
      <c r="A823" s="22"/>
      <c r="B823" s="5"/>
      <c r="C823" s="5"/>
      <c r="D823" s="5"/>
      <c r="E823" s="5"/>
      <c r="F823" s="5"/>
      <c r="G823" s="5"/>
      <c r="H823" s="23"/>
      <c r="I823" s="23"/>
      <c r="J823" s="5"/>
      <c r="K823" s="31">
        <f t="shared" si="60"/>
      </c>
      <c r="L823" s="32">
        <f>IF($A823="","",C823*SUMIFS(Settings!$B$21:$B$25,Settings!$A$21:$A$25,SUMPRODUCT(MAX((Settings!$A$21:$A$25&lt;=$A823)*Settings!$A$21:$A$25)))+D823*SUMIFS(Settings!$C$21:$C$25,Settings!$A$21:$A$25,SUMPRODUCT(MAX((Settings!$A$21:$A$25&lt;=$A823)*Settings!$A$21:$A$25))))</f>
      </c>
      <c r="M823" s="32">
        <f>IF($A823="","",L823*IFERROR(INDEX(Settings!$B$30:$B$36,MATCH($B823,Settings!$A$30:$A$36,0)),0))</f>
      </c>
      <c r="N823" s="32">
        <f t="shared" si="61"/>
      </c>
      <c r="O823" s="33">
        <f t="shared" si="62"/>
      </c>
      <c r="P823" s="32">
        <f t="shared" si="63"/>
      </c>
      <c r="Q823" s="33">
        <f t="shared" si="64"/>
      </c>
    </row>
    <row r="824" spans="1:17" x14ac:dyDescent="0.25">
      <c r="A824" s="22"/>
      <c r="B824" s="5"/>
      <c r="C824" s="5"/>
      <c r="D824" s="5"/>
      <c r="E824" s="5"/>
      <c r="F824" s="5"/>
      <c r="G824" s="5"/>
      <c r="H824" s="23"/>
      <c r="I824" s="23"/>
      <c r="J824" s="5"/>
      <c r="K824" s="31">
        <f t="shared" si="60"/>
      </c>
      <c r="L824" s="32">
        <f>IF($A824="","",C824*SUMIFS(Settings!$B$21:$B$25,Settings!$A$21:$A$25,SUMPRODUCT(MAX((Settings!$A$21:$A$25&lt;=$A824)*Settings!$A$21:$A$25)))+D824*SUMIFS(Settings!$C$21:$C$25,Settings!$A$21:$A$25,SUMPRODUCT(MAX((Settings!$A$21:$A$25&lt;=$A824)*Settings!$A$21:$A$25))))</f>
      </c>
      <c r="M824" s="32">
        <f>IF($A824="","",L824*IFERROR(INDEX(Settings!$B$30:$B$36,MATCH($B824,Settings!$A$30:$A$36,0)),0))</f>
      </c>
      <c r="N824" s="32">
        <f t="shared" si="61"/>
      </c>
      <c r="O824" s="33">
        <f t="shared" si="62"/>
      </c>
      <c r="P824" s="32">
        <f t="shared" si="63"/>
      </c>
      <c r="Q824" s="33">
        <f t="shared" si="64"/>
      </c>
    </row>
    <row r="825" spans="1:17" x14ac:dyDescent="0.25">
      <c r="A825" s="22"/>
      <c r="B825" s="5"/>
      <c r="C825" s="5"/>
      <c r="D825" s="5"/>
      <c r="E825" s="5"/>
      <c r="F825" s="5"/>
      <c r="G825" s="5"/>
      <c r="H825" s="23"/>
      <c r="I825" s="23"/>
      <c r="J825" s="5"/>
      <c r="K825" s="31">
        <f t="shared" si="60"/>
      </c>
      <c r="L825" s="32">
        <f>IF($A825="","",C825*SUMIFS(Settings!$B$21:$B$25,Settings!$A$21:$A$25,SUMPRODUCT(MAX((Settings!$A$21:$A$25&lt;=$A825)*Settings!$A$21:$A$25)))+D825*SUMIFS(Settings!$C$21:$C$25,Settings!$A$21:$A$25,SUMPRODUCT(MAX((Settings!$A$21:$A$25&lt;=$A825)*Settings!$A$21:$A$25))))</f>
      </c>
      <c r="M825" s="32">
        <f>IF($A825="","",L825*IFERROR(INDEX(Settings!$B$30:$B$36,MATCH($B825,Settings!$A$30:$A$36,0)),0))</f>
      </c>
      <c r="N825" s="32">
        <f t="shared" si="61"/>
      </c>
      <c r="O825" s="33">
        <f t="shared" si="62"/>
      </c>
      <c r="P825" s="32">
        <f t="shared" si="63"/>
      </c>
      <c r="Q825" s="33">
        <f t="shared" si="64"/>
      </c>
    </row>
    <row r="826" spans="1:17" x14ac:dyDescent="0.25">
      <c r="A826" s="22"/>
      <c r="B826" s="5"/>
      <c r="C826" s="5"/>
      <c r="D826" s="5"/>
      <c r="E826" s="5"/>
      <c r="F826" s="5"/>
      <c r="G826" s="5"/>
      <c r="H826" s="23"/>
      <c r="I826" s="23"/>
      <c r="J826" s="5"/>
      <c r="K826" s="31">
        <f t="shared" si="60"/>
      </c>
      <c r="L826" s="32">
        <f>IF($A826="","",C826*SUMIFS(Settings!$B$21:$B$25,Settings!$A$21:$A$25,SUMPRODUCT(MAX((Settings!$A$21:$A$25&lt;=$A826)*Settings!$A$21:$A$25)))+D826*SUMIFS(Settings!$C$21:$C$25,Settings!$A$21:$A$25,SUMPRODUCT(MAX((Settings!$A$21:$A$25&lt;=$A826)*Settings!$A$21:$A$25))))</f>
      </c>
      <c r="M826" s="32">
        <f>IF($A826="","",L826*IFERROR(INDEX(Settings!$B$30:$B$36,MATCH($B826,Settings!$A$30:$A$36,0)),0))</f>
      </c>
      <c r="N826" s="32">
        <f t="shared" si="61"/>
      </c>
      <c r="O826" s="33">
        <f t="shared" si="62"/>
      </c>
      <c r="P826" s="32">
        <f t="shared" si="63"/>
      </c>
      <c r="Q826" s="33">
        <f t="shared" si="64"/>
      </c>
    </row>
    <row r="827" spans="1:17" x14ac:dyDescent="0.25">
      <c r="A827" s="22"/>
      <c r="B827" s="5"/>
      <c r="C827" s="5"/>
      <c r="D827" s="5"/>
      <c r="E827" s="5"/>
      <c r="F827" s="5"/>
      <c r="G827" s="5"/>
      <c r="H827" s="23"/>
      <c r="I827" s="23"/>
      <c r="J827" s="5"/>
      <c r="K827" s="31">
        <f t="shared" si="60"/>
      </c>
      <c r="L827" s="32">
        <f>IF($A827="","",C827*SUMIFS(Settings!$B$21:$B$25,Settings!$A$21:$A$25,SUMPRODUCT(MAX((Settings!$A$21:$A$25&lt;=$A827)*Settings!$A$21:$A$25)))+D827*SUMIFS(Settings!$C$21:$C$25,Settings!$A$21:$A$25,SUMPRODUCT(MAX((Settings!$A$21:$A$25&lt;=$A827)*Settings!$A$21:$A$25))))</f>
      </c>
      <c r="M827" s="32">
        <f>IF($A827="","",L827*IFERROR(INDEX(Settings!$B$30:$B$36,MATCH($B827,Settings!$A$30:$A$36,0)),0))</f>
      </c>
      <c r="N827" s="32">
        <f t="shared" si="61"/>
      </c>
      <c r="O827" s="33">
        <f t="shared" si="62"/>
      </c>
      <c r="P827" s="32">
        <f t="shared" si="63"/>
      </c>
      <c r="Q827" s="33">
        <f t="shared" si="64"/>
      </c>
    </row>
    <row r="828" spans="1:17" x14ac:dyDescent="0.25">
      <c r="A828" s="22"/>
      <c r="B828" s="5"/>
      <c r="C828" s="5"/>
      <c r="D828" s="5"/>
      <c r="E828" s="5"/>
      <c r="F828" s="5"/>
      <c r="G828" s="5"/>
      <c r="H828" s="23"/>
      <c r="I828" s="23"/>
      <c r="J828" s="5"/>
      <c r="K828" s="31">
        <f t="shared" si="60"/>
      </c>
      <c r="L828" s="32">
        <f>IF($A828="","",C828*SUMIFS(Settings!$B$21:$B$25,Settings!$A$21:$A$25,SUMPRODUCT(MAX((Settings!$A$21:$A$25&lt;=$A828)*Settings!$A$21:$A$25)))+D828*SUMIFS(Settings!$C$21:$C$25,Settings!$A$21:$A$25,SUMPRODUCT(MAX((Settings!$A$21:$A$25&lt;=$A828)*Settings!$A$21:$A$25))))</f>
      </c>
      <c r="M828" s="32">
        <f>IF($A828="","",L828*IFERROR(INDEX(Settings!$B$30:$B$36,MATCH($B828,Settings!$A$30:$A$36,0)),0))</f>
      </c>
      <c r="N828" s="32">
        <f t="shared" si="61"/>
      </c>
      <c r="O828" s="33">
        <f t="shared" si="62"/>
      </c>
      <c r="P828" s="32">
        <f t="shared" si="63"/>
      </c>
      <c r="Q828" s="33">
        <f t="shared" si="64"/>
      </c>
    </row>
    <row r="829" spans="1:17" x14ac:dyDescent="0.25">
      <c r="A829" s="22"/>
      <c r="B829" s="5"/>
      <c r="C829" s="5"/>
      <c r="D829" s="5"/>
      <c r="E829" s="5"/>
      <c r="F829" s="5"/>
      <c r="G829" s="5"/>
      <c r="H829" s="23"/>
      <c r="I829" s="23"/>
      <c r="J829" s="5"/>
      <c r="K829" s="31">
        <f t="shared" si="60"/>
      </c>
      <c r="L829" s="32">
        <f>IF($A829="","",C829*SUMIFS(Settings!$B$21:$B$25,Settings!$A$21:$A$25,SUMPRODUCT(MAX((Settings!$A$21:$A$25&lt;=$A829)*Settings!$A$21:$A$25)))+D829*SUMIFS(Settings!$C$21:$C$25,Settings!$A$21:$A$25,SUMPRODUCT(MAX((Settings!$A$21:$A$25&lt;=$A829)*Settings!$A$21:$A$25))))</f>
      </c>
      <c r="M829" s="32">
        <f>IF($A829="","",L829*IFERROR(INDEX(Settings!$B$30:$B$36,MATCH($B829,Settings!$A$30:$A$36,0)),0))</f>
      </c>
      <c r="N829" s="32">
        <f t="shared" si="61"/>
      </c>
      <c r="O829" s="33">
        <f t="shared" si="62"/>
      </c>
      <c r="P829" s="32">
        <f t="shared" si="63"/>
      </c>
      <c r="Q829" s="33">
        <f t="shared" si="64"/>
      </c>
    </row>
    <row r="830" spans="1:17" x14ac:dyDescent="0.25">
      <c r="A830" s="22"/>
      <c r="B830" s="5"/>
      <c r="C830" s="5"/>
      <c r="D830" s="5"/>
      <c r="E830" s="5"/>
      <c r="F830" s="5"/>
      <c r="G830" s="5"/>
      <c r="H830" s="23"/>
      <c r="I830" s="23"/>
      <c r="J830" s="5"/>
      <c r="K830" s="31">
        <f t="shared" si="60"/>
      </c>
      <c r="L830" s="32">
        <f>IF($A830="","",C830*SUMIFS(Settings!$B$21:$B$25,Settings!$A$21:$A$25,SUMPRODUCT(MAX((Settings!$A$21:$A$25&lt;=$A830)*Settings!$A$21:$A$25)))+D830*SUMIFS(Settings!$C$21:$C$25,Settings!$A$21:$A$25,SUMPRODUCT(MAX((Settings!$A$21:$A$25&lt;=$A830)*Settings!$A$21:$A$25))))</f>
      </c>
      <c r="M830" s="32">
        <f>IF($A830="","",L830*IFERROR(INDEX(Settings!$B$30:$B$36,MATCH($B830,Settings!$A$30:$A$36,0)),0))</f>
      </c>
      <c r="N830" s="32">
        <f t="shared" si="61"/>
      </c>
      <c r="O830" s="33">
        <f t="shared" si="62"/>
      </c>
      <c r="P830" s="32">
        <f t="shared" si="63"/>
      </c>
      <c r="Q830" s="33">
        <f t="shared" si="64"/>
      </c>
    </row>
    <row r="831" spans="1:17" x14ac:dyDescent="0.25">
      <c r="A831" s="22"/>
      <c r="B831" s="5"/>
      <c r="C831" s="5"/>
      <c r="D831" s="5"/>
      <c r="E831" s="5"/>
      <c r="F831" s="5"/>
      <c r="G831" s="5"/>
      <c r="H831" s="23"/>
      <c r="I831" s="23"/>
      <c r="J831" s="5"/>
      <c r="K831" s="31">
        <f t="shared" si="60"/>
      </c>
      <c r="L831" s="32">
        <f>IF($A831="","",C831*SUMIFS(Settings!$B$21:$B$25,Settings!$A$21:$A$25,SUMPRODUCT(MAX((Settings!$A$21:$A$25&lt;=$A831)*Settings!$A$21:$A$25)))+D831*SUMIFS(Settings!$C$21:$C$25,Settings!$A$21:$A$25,SUMPRODUCT(MAX((Settings!$A$21:$A$25&lt;=$A831)*Settings!$A$21:$A$25))))</f>
      </c>
      <c r="M831" s="32">
        <f>IF($A831="","",L831*IFERROR(INDEX(Settings!$B$30:$B$36,MATCH($B831,Settings!$A$30:$A$36,0)),0))</f>
      </c>
      <c r="N831" s="32">
        <f t="shared" si="61"/>
      </c>
      <c r="O831" s="33">
        <f t="shared" si="62"/>
      </c>
      <c r="P831" s="32">
        <f t="shared" si="63"/>
      </c>
      <c r="Q831" s="33">
        <f t="shared" si="64"/>
      </c>
    </row>
    <row r="832" spans="1:17" x14ac:dyDescent="0.25">
      <c r="A832" s="22"/>
      <c r="B832" s="5"/>
      <c r="C832" s="5"/>
      <c r="D832" s="5"/>
      <c r="E832" s="5"/>
      <c r="F832" s="5"/>
      <c r="G832" s="5"/>
      <c r="H832" s="23"/>
      <c r="I832" s="23"/>
      <c r="J832" s="5"/>
      <c r="K832" s="31">
        <f t="shared" si="60"/>
      </c>
      <c r="L832" s="32">
        <f>IF($A832="","",C832*SUMIFS(Settings!$B$21:$B$25,Settings!$A$21:$A$25,SUMPRODUCT(MAX((Settings!$A$21:$A$25&lt;=$A832)*Settings!$A$21:$A$25)))+D832*SUMIFS(Settings!$C$21:$C$25,Settings!$A$21:$A$25,SUMPRODUCT(MAX((Settings!$A$21:$A$25&lt;=$A832)*Settings!$A$21:$A$25))))</f>
      </c>
      <c r="M832" s="32">
        <f>IF($A832="","",L832*IFERROR(INDEX(Settings!$B$30:$B$36,MATCH($B832,Settings!$A$30:$A$36,0)),0))</f>
      </c>
      <c r="N832" s="32">
        <f t="shared" si="61"/>
      </c>
      <c r="O832" s="33">
        <f t="shared" si="62"/>
      </c>
      <c r="P832" s="32">
        <f t="shared" si="63"/>
      </c>
      <c r="Q832" s="33">
        <f t="shared" si="64"/>
      </c>
    </row>
    <row r="833" spans="1:17" x14ac:dyDescent="0.25">
      <c r="A833" s="22"/>
      <c r="B833" s="5"/>
      <c r="C833" s="5"/>
      <c r="D833" s="5"/>
      <c r="E833" s="5"/>
      <c r="F833" s="5"/>
      <c r="G833" s="5"/>
      <c r="H833" s="23"/>
      <c r="I833" s="23"/>
      <c r="J833" s="5"/>
      <c r="K833" s="31">
        <f t="shared" si="60"/>
      </c>
      <c r="L833" s="32">
        <f>IF($A833="","",C833*SUMIFS(Settings!$B$21:$B$25,Settings!$A$21:$A$25,SUMPRODUCT(MAX((Settings!$A$21:$A$25&lt;=$A833)*Settings!$A$21:$A$25)))+D833*SUMIFS(Settings!$C$21:$C$25,Settings!$A$21:$A$25,SUMPRODUCT(MAX((Settings!$A$21:$A$25&lt;=$A833)*Settings!$A$21:$A$25))))</f>
      </c>
      <c r="M833" s="32">
        <f>IF($A833="","",L833*IFERROR(INDEX(Settings!$B$30:$B$36,MATCH($B833,Settings!$A$30:$A$36,0)),0))</f>
      </c>
      <c r="N833" s="32">
        <f t="shared" si="61"/>
      </c>
      <c r="O833" s="33">
        <f t="shared" si="62"/>
      </c>
      <c r="P833" s="32">
        <f t="shared" si="63"/>
      </c>
      <c r="Q833" s="33">
        <f t="shared" si="64"/>
      </c>
    </row>
    <row r="834" spans="1:17" x14ac:dyDescent="0.25">
      <c r="A834" s="22"/>
      <c r="B834" s="5"/>
      <c r="C834" s="5"/>
      <c r="D834" s="5"/>
      <c r="E834" s="5"/>
      <c r="F834" s="5"/>
      <c r="G834" s="5"/>
      <c r="H834" s="23"/>
      <c r="I834" s="23"/>
      <c r="J834" s="5"/>
      <c r="K834" s="31">
        <f t="shared" si="60"/>
      </c>
      <c r="L834" s="32">
        <f>IF($A834="","",C834*SUMIFS(Settings!$B$21:$B$25,Settings!$A$21:$A$25,SUMPRODUCT(MAX((Settings!$A$21:$A$25&lt;=$A834)*Settings!$A$21:$A$25)))+D834*SUMIFS(Settings!$C$21:$C$25,Settings!$A$21:$A$25,SUMPRODUCT(MAX((Settings!$A$21:$A$25&lt;=$A834)*Settings!$A$21:$A$25))))</f>
      </c>
      <c r="M834" s="32">
        <f>IF($A834="","",L834*IFERROR(INDEX(Settings!$B$30:$B$36,MATCH($B834,Settings!$A$30:$A$36,0)),0))</f>
      </c>
      <c r="N834" s="32">
        <f t="shared" si="61"/>
      </c>
      <c r="O834" s="33">
        <f t="shared" si="62"/>
      </c>
      <c r="P834" s="32">
        <f t="shared" si="63"/>
      </c>
      <c r="Q834" s="33">
        <f t="shared" si="64"/>
      </c>
    </row>
    <row r="835" spans="1:17" x14ac:dyDescent="0.25">
      <c r="A835" s="22"/>
      <c r="B835" s="5"/>
      <c r="C835" s="5"/>
      <c r="D835" s="5"/>
      <c r="E835" s="5"/>
      <c r="F835" s="5"/>
      <c r="G835" s="5"/>
      <c r="H835" s="23"/>
      <c r="I835" s="23"/>
      <c r="J835" s="5"/>
      <c r="K835" s="31">
        <f t="shared" si="60"/>
      </c>
      <c r="L835" s="32">
        <f>IF($A835="","",C835*SUMIFS(Settings!$B$21:$B$25,Settings!$A$21:$A$25,SUMPRODUCT(MAX((Settings!$A$21:$A$25&lt;=$A835)*Settings!$A$21:$A$25)))+D835*SUMIFS(Settings!$C$21:$C$25,Settings!$A$21:$A$25,SUMPRODUCT(MAX((Settings!$A$21:$A$25&lt;=$A835)*Settings!$A$21:$A$25))))</f>
      </c>
      <c r="M835" s="32">
        <f>IF($A835="","",L835*IFERROR(INDEX(Settings!$B$30:$B$36,MATCH($B835,Settings!$A$30:$A$36,0)),0))</f>
      </c>
      <c r="N835" s="32">
        <f t="shared" si="61"/>
      </c>
      <c r="O835" s="33">
        <f t="shared" si="62"/>
      </c>
      <c r="P835" s="32">
        <f t="shared" si="63"/>
      </c>
      <c r="Q835" s="33">
        <f t="shared" si="64"/>
      </c>
    </row>
    <row r="836" spans="1:17" x14ac:dyDescent="0.25">
      <c r="A836" s="22"/>
      <c r="B836" s="5"/>
      <c r="C836" s="5"/>
      <c r="D836" s="5"/>
      <c r="E836" s="5"/>
      <c r="F836" s="5"/>
      <c r="G836" s="5"/>
      <c r="H836" s="23"/>
      <c r="I836" s="23"/>
      <c r="J836" s="5"/>
      <c r="K836" s="31">
        <f t="shared" si="60"/>
      </c>
      <c r="L836" s="32">
        <f>IF($A836="","",C836*SUMIFS(Settings!$B$21:$B$25,Settings!$A$21:$A$25,SUMPRODUCT(MAX((Settings!$A$21:$A$25&lt;=$A836)*Settings!$A$21:$A$25)))+D836*SUMIFS(Settings!$C$21:$C$25,Settings!$A$21:$A$25,SUMPRODUCT(MAX((Settings!$A$21:$A$25&lt;=$A836)*Settings!$A$21:$A$25))))</f>
      </c>
      <c r="M836" s="32">
        <f>IF($A836="","",L836*IFERROR(INDEX(Settings!$B$30:$B$36,MATCH($B836,Settings!$A$30:$A$36,0)),0))</f>
      </c>
      <c r="N836" s="32">
        <f t="shared" si="61"/>
      </c>
      <c r="O836" s="33">
        <f t="shared" si="62"/>
      </c>
      <c r="P836" s="32">
        <f t="shared" si="63"/>
      </c>
      <c r="Q836" s="33">
        <f t="shared" si="64"/>
      </c>
    </row>
    <row r="837" spans="1:17" x14ac:dyDescent="0.25">
      <c r="A837" s="22"/>
      <c r="B837" s="5"/>
      <c r="C837" s="5"/>
      <c r="D837" s="5"/>
      <c r="E837" s="5"/>
      <c r="F837" s="5"/>
      <c r="G837" s="5"/>
      <c r="H837" s="23"/>
      <c r="I837" s="23"/>
      <c r="J837" s="5"/>
      <c r="K837" s="31">
        <f t="shared" si="60"/>
      </c>
      <c r="L837" s="32">
        <f>IF($A837="","",C837*SUMIFS(Settings!$B$21:$B$25,Settings!$A$21:$A$25,SUMPRODUCT(MAX((Settings!$A$21:$A$25&lt;=$A837)*Settings!$A$21:$A$25)))+D837*SUMIFS(Settings!$C$21:$C$25,Settings!$A$21:$A$25,SUMPRODUCT(MAX((Settings!$A$21:$A$25&lt;=$A837)*Settings!$A$21:$A$25))))</f>
      </c>
      <c r="M837" s="32">
        <f>IF($A837="","",L837*IFERROR(INDEX(Settings!$B$30:$B$36,MATCH($B837,Settings!$A$30:$A$36,0)),0))</f>
      </c>
      <c r="N837" s="32">
        <f t="shared" si="61"/>
      </c>
      <c r="O837" s="33">
        <f t="shared" si="62"/>
      </c>
      <c r="P837" s="32">
        <f t="shared" si="63"/>
      </c>
      <c r="Q837" s="33">
        <f t="shared" si="64"/>
      </c>
    </row>
    <row r="838" spans="1:17" x14ac:dyDescent="0.25">
      <c r="A838" s="22"/>
      <c r="B838" s="5"/>
      <c r="C838" s="5"/>
      <c r="D838" s="5"/>
      <c r="E838" s="5"/>
      <c r="F838" s="5"/>
      <c r="G838" s="5"/>
      <c r="H838" s="23"/>
      <c r="I838" s="23"/>
      <c r="J838" s="5"/>
      <c r="K838" s="31">
        <f t="shared" ref="K838:K901" si="65">IF($A838="","",C838+D838)</f>
      </c>
      <c r="L838" s="32">
        <f>IF($A838="","",C838*SUMIFS(Settings!$B$21:$B$25,Settings!$A$21:$A$25,SUMPRODUCT(MAX((Settings!$A$21:$A$25&lt;=$A838)*Settings!$A$21:$A$25)))+D838*SUMIFS(Settings!$C$21:$C$25,Settings!$A$21:$A$25,SUMPRODUCT(MAX((Settings!$A$21:$A$25&lt;=$A838)*Settings!$A$21:$A$25))))</f>
      </c>
      <c r="M838" s="32">
        <f>IF($A838="","",L838*IFERROR(INDEX(Settings!$B$30:$B$36,MATCH($B838,Settings!$A$30:$A$36,0)),0))</f>
      </c>
      <c r="N838" s="32">
        <f t="shared" ref="N838:N901" si="66">IF(OR($A838="",F838="",G838=""),"",(F838-G838)-(K838+E838))</f>
      </c>
      <c r="O838" s="33">
        <f t="shared" ref="O838:O901" si="67">IF(N838="","",IF(N838=0,"OK","CHECK"))</f>
      </c>
      <c r="P838" s="32">
        <f t="shared" ref="P838:P901" si="68">IF(OR($A838="",AND(H838="",I838="")),"",H838+I838-L838)</f>
      </c>
      <c r="Q838" s="33">
        <f t="shared" ref="Q838:Q901" si="69">IF(P838="","",IF(P838=0,"OK","CHECK"))</f>
      </c>
    </row>
    <row r="839" spans="1:17" x14ac:dyDescent="0.25">
      <c r="A839" s="22"/>
      <c r="B839" s="5"/>
      <c r="C839" s="5"/>
      <c r="D839" s="5"/>
      <c r="E839" s="5"/>
      <c r="F839" s="5"/>
      <c r="G839" s="5"/>
      <c r="H839" s="23"/>
      <c r="I839" s="23"/>
      <c r="J839" s="5"/>
      <c r="K839" s="31">
        <f t="shared" si="65"/>
      </c>
      <c r="L839" s="32">
        <f>IF($A839="","",C839*SUMIFS(Settings!$B$21:$B$25,Settings!$A$21:$A$25,SUMPRODUCT(MAX((Settings!$A$21:$A$25&lt;=$A839)*Settings!$A$21:$A$25)))+D839*SUMIFS(Settings!$C$21:$C$25,Settings!$A$21:$A$25,SUMPRODUCT(MAX((Settings!$A$21:$A$25&lt;=$A839)*Settings!$A$21:$A$25))))</f>
      </c>
      <c r="M839" s="32">
        <f>IF($A839="","",L839*IFERROR(INDEX(Settings!$B$30:$B$36,MATCH($B839,Settings!$A$30:$A$36,0)),0))</f>
      </c>
      <c r="N839" s="32">
        <f t="shared" si="66"/>
      </c>
      <c r="O839" s="33">
        <f t="shared" si="67"/>
      </c>
      <c r="P839" s="32">
        <f t="shared" si="68"/>
      </c>
      <c r="Q839" s="33">
        <f t="shared" si="69"/>
      </c>
    </row>
    <row r="840" spans="1:17" x14ac:dyDescent="0.25">
      <c r="A840" s="22"/>
      <c r="B840" s="5"/>
      <c r="C840" s="5"/>
      <c r="D840" s="5"/>
      <c r="E840" s="5"/>
      <c r="F840" s="5"/>
      <c r="G840" s="5"/>
      <c r="H840" s="23"/>
      <c r="I840" s="23"/>
      <c r="J840" s="5"/>
      <c r="K840" s="31">
        <f t="shared" si="65"/>
      </c>
      <c r="L840" s="32">
        <f>IF($A840="","",C840*SUMIFS(Settings!$B$21:$B$25,Settings!$A$21:$A$25,SUMPRODUCT(MAX((Settings!$A$21:$A$25&lt;=$A840)*Settings!$A$21:$A$25)))+D840*SUMIFS(Settings!$C$21:$C$25,Settings!$A$21:$A$25,SUMPRODUCT(MAX((Settings!$A$21:$A$25&lt;=$A840)*Settings!$A$21:$A$25))))</f>
      </c>
      <c r="M840" s="32">
        <f>IF($A840="","",L840*IFERROR(INDEX(Settings!$B$30:$B$36,MATCH($B840,Settings!$A$30:$A$36,0)),0))</f>
      </c>
      <c r="N840" s="32">
        <f t="shared" si="66"/>
      </c>
      <c r="O840" s="33">
        <f t="shared" si="67"/>
      </c>
      <c r="P840" s="32">
        <f t="shared" si="68"/>
      </c>
      <c r="Q840" s="33">
        <f t="shared" si="69"/>
      </c>
    </row>
    <row r="841" spans="1:17" x14ac:dyDescent="0.25">
      <c r="A841" s="22"/>
      <c r="B841" s="5"/>
      <c r="C841" s="5"/>
      <c r="D841" s="5"/>
      <c r="E841" s="5"/>
      <c r="F841" s="5"/>
      <c r="G841" s="5"/>
      <c r="H841" s="23"/>
      <c r="I841" s="23"/>
      <c r="J841" s="5"/>
      <c r="K841" s="31">
        <f t="shared" si="65"/>
      </c>
      <c r="L841" s="32">
        <f>IF($A841="","",C841*SUMIFS(Settings!$B$21:$B$25,Settings!$A$21:$A$25,SUMPRODUCT(MAX((Settings!$A$21:$A$25&lt;=$A841)*Settings!$A$21:$A$25)))+D841*SUMIFS(Settings!$C$21:$C$25,Settings!$A$21:$A$25,SUMPRODUCT(MAX((Settings!$A$21:$A$25&lt;=$A841)*Settings!$A$21:$A$25))))</f>
      </c>
      <c r="M841" s="32">
        <f>IF($A841="","",L841*IFERROR(INDEX(Settings!$B$30:$B$36,MATCH($B841,Settings!$A$30:$A$36,0)),0))</f>
      </c>
      <c r="N841" s="32">
        <f t="shared" si="66"/>
      </c>
      <c r="O841" s="33">
        <f t="shared" si="67"/>
      </c>
      <c r="P841" s="32">
        <f t="shared" si="68"/>
      </c>
      <c r="Q841" s="33">
        <f t="shared" si="69"/>
      </c>
    </row>
    <row r="842" spans="1:17" x14ac:dyDescent="0.25">
      <c r="A842" s="22"/>
      <c r="B842" s="5"/>
      <c r="C842" s="5"/>
      <c r="D842" s="5"/>
      <c r="E842" s="5"/>
      <c r="F842" s="5"/>
      <c r="G842" s="5"/>
      <c r="H842" s="23"/>
      <c r="I842" s="23"/>
      <c r="J842" s="5"/>
      <c r="K842" s="31">
        <f t="shared" si="65"/>
      </c>
      <c r="L842" s="32">
        <f>IF($A842="","",C842*SUMIFS(Settings!$B$21:$B$25,Settings!$A$21:$A$25,SUMPRODUCT(MAX((Settings!$A$21:$A$25&lt;=$A842)*Settings!$A$21:$A$25)))+D842*SUMIFS(Settings!$C$21:$C$25,Settings!$A$21:$A$25,SUMPRODUCT(MAX((Settings!$A$21:$A$25&lt;=$A842)*Settings!$A$21:$A$25))))</f>
      </c>
      <c r="M842" s="32">
        <f>IF($A842="","",L842*IFERROR(INDEX(Settings!$B$30:$B$36,MATCH($B842,Settings!$A$30:$A$36,0)),0))</f>
      </c>
      <c r="N842" s="32">
        <f t="shared" si="66"/>
      </c>
      <c r="O842" s="33">
        <f t="shared" si="67"/>
      </c>
      <c r="P842" s="32">
        <f t="shared" si="68"/>
      </c>
      <c r="Q842" s="33">
        <f t="shared" si="69"/>
      </c>
    </row>
    <row r="843" spans="1:17" x14ac:dyDescent="0.25">
      <c r="A843" s="22"/>
      <c r="B843" s="5"/>
      <c r="C843" s="5"/>
      <c r="D843" s="5"/>
      <c r="E843" s="5"/>
      <c r="F843" s="5"/>
      <c r="G843" s="5"/>
      <c r="H843" s="23"/>
      <c r="I843" s="23"/>
      <c r="J843" s="5"/>
      <c r="K843" s="31">
        <f t="shared" si="65"/>
      </c>
      <c r="L843" s="32">
        <f>IF($A843="","",C843*SUMIFS(Settings!$B$21:$B$25,Settings!$A$21:$A$25,SUMPRODUCT(MAX((Settings!$A$21:$A$25&lt;=$A843)*Settings!$A$21:$A$25)))+D843*SUMIFS(Settings!$C$21:$C$25,Settings!$A$21:$A$25,SUMPRODUCT(MAX((Settings!$A$21:$A$25&lt;=$A843)*Settings!$A$21:$A$25))))</f>
      </c>
      <c r="M843" s="32">
        <f>IF($A843="","",L843*IFERROR(INDEX(Settings!$B$30:$B$36,MATCH($B843,Settings!$A$30:$A$36,0)),0))</f>
      </c>
      <c r="N843" s="32">
        <f t="shared" si="66"/>
      </c>
      <c r="O843" s="33">
        <f t="shared" si="67"/>
      </c>
      <c r="P843" s="32">
        <f t="shared" si="68"/>
      </c>
      <c r="Q843" s="33">
        <f t="shared" si="69"/>
      </c>
    </row>
    <row r="844" spans="1:17" x14ac:dyDescent="0.25">
      <c r="A844" s="22"/>
      <c r="B844" s="5"/>
      <c r="C844" s="5"/>
      <c r="D844" s="5"/>
      <c r="E844" s="5"/>
      <c r="F844" s="5"/>
      <c r="G844" s="5"/>
      <c r="H844" s="23"/>
      <c r="I844" s="23"/>
      <c r="J844" s="5"/>
      <c r="K844" s="31">
        <f t="shared" si="65"/>
      </c>
      <c r="L844" s="32">
        <f>IF($A844="","",C844*SUMIFS(Settings!$B$21:$B$25,Settings!$A$21:$A$25,SUMPRODUCT(MAX((Settings!$A$21:$A$25&lt;=$A844)*Settings!$A$21:$A$25)))+D844*SUMIFS(Settings!$C$21:$C$25,Settings!$A$21:$A$25,SUMPRODUCT(MAX((Settings!$A$21:$A$25&lt;=$A844)*Settings!$A$21:$A$25))))</f>
      </c>
      <c r="M844" s="32">
        <f>IF($A844="","",L844*IFERROR(INDEX(Settings!$B$30:$B$36,MATCH($B844,Settings!$A$30:$A$36,0)),0))</f>
      </c>
      <c r="N844" s="32">
        <f t="shared" si="66"/>
      </c>
      <c r="O844" s="33">
        <f t="shared" si="67"/>
      </c>
      <c r="P844" s="32">
        <f t="shared" si="68"/>
      </c>
      <c r="Q844" s="33">
        <f t="shared" si="69"/>
      </c>
    </row>
    <row r="845" spans="1:17" x14ac:dyDescent="0.25">
      <c r="A845" s="22"/>
      <c r="B845" s="5"/>
      <c r="C845" s="5"/>
      <c r="D845" s="5"/>
      <c r="E845" s="5"/>
      <c r="F845" s="5"/>
      <c r="G845" s="5"/>
      <c r="H845" s="23"/>
      <c r="I845" s="23"/>
      <c r="J845" s="5"/>
      <c r="K845" s="31">
        <f t="shared" si="65"/>
      </c>
      <c r="L845" s="32">
        <f>IF($A845="","",C845*SUMIFS(Settings!$B$21:$B$25,Settings!$A$21:$A$25,SUMPRODUCT(MAX((Settings!$A$21:$A$25&lt;=$A845)*Settings!$A$21:$A$25)))+D845*SUMIFS(Settings!$C$21:$C$25,Settings!$A$21:$A$25,SUMPRODUCT(MAX((Settings!$A$21:$A$25&lt;=$A845)*Settings!$A$21:$A$25))))</f>
      </c>
      <c r="M845" s="32">
        <f>IF($A845="","",L845*IFERROR(INDEX(Settings!$B$30:$B$36,MATCH($B845,Settings!$A$30:$A$36,0)),0))</f>
      </c>
      <c r="N845" s="32">
        <f t="shared" si="66"/>
      </c>
      <c r="O845" s="33">
        <f t="shared" si="67"/>
      </c>
      <c r="P845" s="32">
        <f t="shared" si="68"/>
      </c>
      <c r="Q845" s="33">
        <f t="shared" si="69"/>
      </c>
    </row>
    <row r="846" spans="1:17" x14ac:dyDescent="0.25">
      <c r="A846" s="22"/>
      <c r="B846" s="5"/>
      <c r="C846" s="5"/>
      <c r="D846" s="5"/>
      <c r="E846" s="5"/>
      <c r="F846" s="5"/>
      <c r="G846" s="5"/>
      <c r="H846" s="23"/>
      <c r="I846" s="23"/>
      <c r="J846" s="5"/>
      <c r="K846" s="31">
        <f t="shared" si="65"/>
      </c>
      <c r="L846" s="32">
        <f>IF($A846="","",C846*SUMIFS(Settings!$B$21:$B$25,Settings!$A$21:$A$25,SUMPRODUCT(MAX((Settings!$A$21:$A$25&lt;=$A846)*Settings!$A$21:$A$25)))+D846*SUMIFS(Settings!$C$21:$C$25,Settings!$A$21:$A$25,SUMPRODUCT(MAX((Settings!$A$21:$A$25&lt;=$A846)*Settings!$A$21:$A$25))))</f>
      </c>
      <c r="M846" s="32">
        <f>IF($A846="","",L846*IFERROR(INDEX(Settings!$B$30:$B$36,MATCH($B846,Settings!$A$30:$A$36,0)),0))</f>
      </c>
      <c r="N846" s="32">
        <f t="shared" si="66"/>
      </c>
      <c r="O846" s="33">
        <f t="shared" si="67"/>
      </c>
      <c r="P846" s="32">
        <f t="shared" si="68"/>
      </c>
      <c r="Q846" s="33">
        <f t="shared" si="69"/>
      </c>
    </row>
    <row r="847" spans="1:17" x14ac:dyDescent="0.25">
      <c r="A847" s="22"/>
      <c r="B847" s="5"/>
      <c r="C847" s="5"/>
      <c r="D847" s="5"/>
      <c r="E847" s="5"/>
      <c r="F847" s="5"/>
      <c r="G847" s="5"/>
      <c r="H847" s="23"/>
      <c r="I847" s="23"/>
      <c r="J847" s="5"/>
      <c r="K847" s="31">
        <f t="shared" si="65"/>
      </c>
      <c r="L847" s="32">
        <f>IF($A847="","",C847*SUMIFS(Settings!$B$21:$B$25,Settings!$A$21:$A$25,SUMPRODUCT(MAX((Settings!$A$21:$A$25&lt;=$A847)*Settings!$A$21:$A$25)))+D847*SUMIFS(Settings!$C$21:$C$25,Settings!$A$21:$A$25,SUMPRODUCT(MAX((Settings!$A$21:$A$25&lt;=$A847)*Settings!$A$21:$A$25))))</f>
      </c>
      <c r="M847" s="32">
        <f>IF($A847="","",L847*IFERROR(INDEX(Settings!$B$30:$B$36,MATCH($B847,Settings!$A$30:$A$36,0)),0))</f>
      </c>
      <c r="N847" s="32">
        <f t="shared" si="66"/>
      </c>
      <c r="O847" s="33">
        <f t="shared" si="67"/>
      </c>
      <c r="P847" s="32">
        <f t="shared" si="68"/>
      </c>
      <c r="Q847" s="33">
        <f t="shared" si="69"/>
      </c>
    </row>
    <row r="848" spans="1:17" x14ac:dyDescent="0.25">
      <c r="A848" s="22"/>
      <c r="B848" s="5"/>
      <c r="C848" s="5"/>
      <c r="D848" s="5"/>
      <c r="E848" s="5"/>
      <c r="F848" s="5"/>
      <c r="G848" s="5"/>
      <c r="H848" s="23"/>
      <c r="I848" s="23"/>
      <c r="J848" s="5"/>
      <c r="K848" s="31">
        <f t="shared" si="65"/>
      </c>
      <c r="L848" s="32">
        <f>IF($A848="","",C848*SUMIFS(Settings!$B$21:$B$25,Settings!$A$21:$A$25,SUMPRODUCT(MAX((Settings!$A$21:$A$25&lt;=$A848)*Settings!$A$21:$A$25)))+D848*SUMIFS(Settings!$C$21:$C$25,Settings!$A$21:$A$25,SUMPRODUCT(MAX((Settings!$A$21:$A$25&lt;=$A848)*Settings!$A$21:$A$25))))</f>
      </c>
      <c r="M848" s="32">
        <f>IF($A848="","",L848*IFERROR(INDEX(Settings!$B$30:$B$36,MATCH($B848,Settings!$A$30:$A$36,0)),0))</f>
      </c>
      <c r="N848" s="32">
        <f t="shared" si="66"/>
      </c>
      <c r="O848" s="33">
        <f t="shared" si="67"/>
      </c>
      <c r="P848" s="32">
        <f t="shared" si="68"/>
      </c>
      <c r="Q848" s="33">
        <f t="shared" si="69"/>
      </c>
    </row>
    <row r="849" spans="1:17" x14ac:dyDescent="0.25">
      <c r="A849" s="22"/>
      <c r="B849" s="5"/>
      <c r="C849" s="5"/>
      <c r="D849" s="5"/>
      <c r="E849" s="5"/>
      <c r="F849" s="5"/>
      <c r="G849" s="5"/>
      <c r="H849" s="23"/>
      <c r="I849" s="23"/>
      <c r="J849" s="5"/>
      <c r="K849" s="31">
        <f t="shared" si="65"/>
      </c>
      <c r="L849" s="32">
        <f>IF($A849="","",C849*SUMIFS(Settings!$B$21:$B$25,Settings!$A$21:$A$25,SUMPRODUCT(MAX((Settings!$A$21:$A$25&lt;=$A849)*Settings!$A$21:$A$25)))+D849*SUMIFS(Settings!$C$21:$C$25,Settings!$A$21:$A$25,SUMPRODUCT(MAX((Settings!$A$21:$A$25&lt;=$A849)*Settings!$A$21:$A$25))))</f>
      </c>
      <c r="M849" s="32">
        <f>IF($A849="","",L849*IFERROR(INDEX(Settings!$B$30:$B$36,MATCH($B849,Settings!$A$30:$A$36,0)),0))</f>
      </c>
      <c r="N849" s="32">
        <f t="shared" si="66"/>
      </c>
      <c r="O849" s="33">
        <f t="shared" si="67"/>
      </c>
      <c r="P849" s="32">
        <f t="shared" si="68"/>
      </c>
      <c r="Q849" s="33">
        <f t="shared" si="69"/>
      </c>
    </row>
    <row r="850" spans="1:17" x14ac:dyDescent="0.25">
      <c r="A850" s="22"/>
      <c r="B850" s="5"/>
      <c r="C850" s="5"/>
      <c r="D850" s="5"/>
      <c r="E850" s="5"/>
      <c r="F850" s="5"/>
      <c r="G850" s="5"/>
      <c r="H850" s="23"/>
      <c r="I850" s="23"/>
      <c r="J850" s="5"/>
      <c r="K850" s="31">
        <f t="shared" si="65"/>
      </c>
      <c r="L850" s="32">
        <f>IF($A850="","",C850*SUMIFS(Settings!$B$21:$B$25,Settings!$A$21:$A$25,SUMPRODUCT(MAX((Settings!$A$21:$A$25&lt;=$A850)*Settings!$A$21:$A$25)))+D850*SUMIFS(Settings!$C$21:$C$25,Settings!$A$21:$A$25,SUMPRODUCT(MAX((Settings!$A$21:$A$25&lt;=$A850)*Settings!$A$21:$A$25))))</f>
      </c>
      <c r="M850" s="32">
        <f>IF($A850="","",L850*IFERROR(INDEX(Settings!$B$30:$B$36,MATCH($B850,Settings!$A$30:$A$36,0)),0))</f>
      </c>
      <c r="N850" s="32">
        <f t="shared" si="66"/>
      </c>
      <c r="O850" s="33">
        <f t="shared" si="67"/>
      </c>
      <c r="P850" s="32">
        <f t="shared" si="68"/>
      </c>
      <c r="Q850" s="33">
        <f t="shared" si="69"/>
      </c>
    </row>
    <row r="851" spans="1:17" x14ac:dyDescent="0.25">
      <c r="A851" s="22"/>
      <c r="B851" s="5"/>
      <c r="C851" s="5"/>
      <c r="D851" s="5"/>
      <c r="E851" s="5"/>
      <c r="F851" s="5"/>
      <c r="G851" s="5"/>
      <c r="H851" s="23"/>
      <c r="I851" s="23"/>
      <c r="J851" s="5"/>
      <c r="K851" s="31">
        <f t="shared" si="65"/>
      </c>
      <c r="L851" s="32">
        <f>IF($A851="","",C851*SUMIFS(Settings!$B$21:$B$25,Settings!$A$21:$A$25,SUMPRODUCT(MAX((Settings!$A$21:$A$25&lt;=$A851)*Settings!$A$21:$A$25)))+D851*SUMIFS(Settings!$C$21:$C$25,Settings!$A$21:$A$25,SUMPRODUCT(MAX((Settings!$A$21:$A$25&lt;=$A851)*Settings!$A$21:$A$25))))</f>
      </c>
      <c r="M851" s="32">
        <f>IF($A851="","",L851*IFERROR(INDEX(Settings!$B$30:$B$36,MATCH($B851,Settings!$A$30:$A$36,0)),0))</f>
      </c>
      <c r="N851" s="32">
        <f t="shared" si="66"/>
      </c>
      <c r="O851" s="33">
        <f t="shared" si="67"/>
      </c>
      <c r="P851" s="32">
        <f t="shared" si="68"/>
      </c>
      <c r="Q851" s="33">
        <f t="shared" si="69"/>
      </c>
    </row>
    <row r="852" spans="1:17" x14ac:dyDescent="0.25">
      <c r="A852" s="22"/>
      <c r="B852" s="5"/>
      <c r="C852" s="5"/>
      <c r="D852" s="5"/>
      <c r="E852" s="5"/>
      <c r="F852" s="5"/>
      <c r="G852" s="5"/>
      <c r="H852" s="23"/>
      <c r="I852" s="23"/>
      <c r="J852" s="5"/>
      <c r="K852" s="31">
        <f t="shared" si="65"/>
      </c>
      <c r="L852" s="32">
        <f>IF($A852="","",C852*SUMIFS(Settings!$B$21:$B$25,Settings!$A$21:$A$25,SUMPRODUCT(MAX((Settings!$A$21:$A$25&lt;=$A852)*Settings!$A$21:$A$25)))+D852*SUMIFS(Settings!$C$21:$C$25,Settings!$A$21:$A$25,SUMPRODUCT(MAX((Settings!$A$21:$A$25&lt;=$A852)*Settings!$A$21:$A$25))))</f>
      </c>
      <c r="M852" s="32">
        <f>IF($A852="","",L852*IFERROR(INDEX(Settings!$B$30:$B$36,MATCH($B852,Settings!$A$30:$A$36,0)),0))</f>
      </c>
      <c r="N852" s="32">
        <f t="shared" si="66"/>
      </c>
      <c r="O852" s="33">
        <f t="shared" si="67"/>
      </c>
      <c r="P852" s="32">
        <f t="shared" si="68"/>
      </c>
      <c r="Q852" s="33">
        <f t="shared" si="69"/>
      </c>
    </row>
    <row r="853" spans="1:17" x14ac:dyDescent="0.25">
      <c r="A853" s="22"/>
      <c r="B853" s="5"/>
      <c r="C853" s="5"/>
      <c r="D853" s="5"/>
      <c r="E853" s="5"/>
      <c r="F853" s="5"/>
      <c r="G853" s="5"/>
      <c r="H853" s="23"/>
      <c r="I853" s="23"/>
      <c r="J853" s="5"/>
      <c r="K853" s="31">
        <f t="shared" si="65"/>
      </c>
      <c r="L853" s="32">
        <f>IF($A853="","",C853*SUMIFS(Settings!$B$21:$B$25,Settings!$A$21:$A$25,SUMPRODUCT(MAX((Settings!$A$21:$A$25&lt;=$A853)*Settings!$A$21:$A$25)))+D853*SUMIFS(Settings!$C$21:$C$25,Settings!$A$21:$A$25,SUMPRODUCT(MAX((Settings!$A$21:$A$25&lt;=$A853)*Settings!$A$21:$A$25))))</f>
      </c>
      <c r="M853" s="32">
        <f>IF($A853="","",L853*IFERROR(INDEX(Settings!$B$30:$B$36,MATCH($B853,Settings!$A$30:$A$36,0)),0))</f>
      </c>
      <c r="N853" s="32">
        <f t="shared" si="66"/>
      </c>
      <c r="O853" s="33">
        <f t="shared" si="67"/>
      </c>
      <c r="P853" s="32">
        <f t="shared" si="68"/>
      </c>
      <c r="Q853" s="33">
        <f t="shared" si="69"/>
      </c>
    </row>
    <row r="854" spans="1:17" x14ac:dyDescent="0.25">
      <c r="A854" s="22"/>
      <c r="B854" s="5"/>
      <c r="C854" s="5"/>
      <c r="D854" s="5"/>
      <c r="E854" s="5"/>
      <c r="F854" s="5"/>
      <c r="G854" s="5"/>
      <c r="H854" s="23"/>
      <c r="I854" s="23"/>
      <c r="J854" s="5"/>
      <c r="K854" s="31">
        <f t="shared" si="65"/>
      </c>
      <c r="L854" s="32">
        <f>IF($A854="","",C854*SUMIFS(Settings!$B$21:$B$25,Settings!$A$21:$A$25,SUMPRODUCT(MAX((Settings!$A$21:$A$25&lt;=$A854)*Settings!$A$21:$A$25)))+D854*SUMIFS(Settings!$C$21:$C$25,Settings!$A$21:$A$25,SUMPRODUCT(MAX((Settings!$A$21:$A$25&lt;=$A854)*Settings!$A$21:$A$25))))</f>
      </c>
      <c r="M854" s="32">
        <f>IF($A854="","",L854*IFERROR(INDEX(Settings!$B$30:$B$36,MATCH($B854,Settings!$A$30:$A$36,0)),0))</f>
      </c>
      <c r="N854" s="32">
        <f t="shared" si="66"/>
      </c>
      <c r="O854" s="33">
        <f t="shared" si="67"/>
      </c>
      <c r="P854" s="32">
        <f t="shared" si="68"/>
      </c>
      <c r="Q854" s="33">
        <f t="shared" si="69"/>
      </c>
    </row>
    <row r="855" spans="1:17" x14ac:dyDescent="0.25">
      <c r="A855" s="22"/>
      <c r="B855" s="5"/>
      <c r="C855" s="5"/>
      <c r="D855" s="5"/>
      <c r="E855" s="5"/>
      <c r="F855" s="5"/>
      <c r="G855" s="5"/>
      <c r="H855" s="23"/>
      <c r="I855" s="23"/>
      <c r="J855" s="5"/>
      <c r="K855" s="31">
        <f t="shared" si="65"/>
      </c>
      <c r="L855" s="32">
        <f>IF($A855="","",C855*SUMIFS(Settings!$B$21:$B$25,Settings!$A$21:$A$25,SUMPRODUCT(MAX((Settings!$A$21:$A$25&lt;=$A855)*Settings!$A$21:$A$25)))+D855*SUMIFS(Settings!$C$21:$C$25,Settings!$A$21:$A$25,SUMPRODUCT(MAX((Settings!$A$21:$A$25&lt;=$A855)*Settings!$A$21:$A$25))))</f>
      </c>
      <c r="M855" s="32">
        <f>IF($A855="","",L855*IFERROR(INDEX(Settings!$B$30:$B$36,MATCH($B855,Settings!$A$30:$A$36,0)),0))</f>
      </c>
      <c r="N855" s="32">
        <f t="shared" si="66"/>
      </c>
      <c r="O855" s="33">
        <f t="shared" si="67"/>
      </c>
      <c r="P855" s="32">
        <f t="shared" si="68"/>
      </c>
      <c r="Q855" s="33">
        <f t="shared" si="69"/>
      </c>
    </row>
    <row r="856" spans="1:17" x14ac:dyDescent="0.25">
      <c r="A856" s="22"/>
      <c r="B856" s="5"/>
      <c r="C856" s="5"/>
      <c r="D856" s="5"/>
      <c r="E856" s="5"/>
      <c r="F856" s="5"/>
      <c r="G856" s="5"/>
      <c r="H856" s="23"/>
      <c r="I856" s="23"/>
      <c r="J856" s="5"/>
      <c r="K856" s="31">
        <f t="shared" si="65"/>
      </c>
      <c r="L856" s="32">
        <f>IF($A856="","",C856*SUMIFS(Settings!$B$21:$B$25,Settings!$A$21:$A$25,SUMPRODUCT(MAX((Settings!$A$21:$A$25&lt;=$A856)*Settings!$A$21:$A$25)))+D856*SUMIFS(Settings!$C$21:$C$25,Settings!$A$21:$A$25,SUMPRODUCT(MAX((Settings!$A$21:$A$25&lt;=$A856)*Settings!$A$21:$A$25))))</f>
      </c>
      <c r="M856" s="32">
        <f>IF($A856="","",L856*IFERROR(INDEX(Settings!$B$30:$B$36,MATCH($B856,Settings!$A$30:$A$36,0)),0))</f>
      </c>
      <c r="N856" s="32">
        <f t="shared" si="66"/>
      </c>
      <c r="O856" s="33">
        <f t="shared" si="67"/>
      </c>
      <c r="P856" s="32">
        <f t="shared" si="68"/>
      </c>
      <c r="Q856" s="33">
        <f t="shared" si="69"/>
      </c>
    </row>
    <row r="857" spans="1:17" x14ac:dyDescent="0.25">
      <c r="A857" s="22"/>
      <c r="B857" s="5"/>
      <c r="C857" s="5"/>
      <c r="D857" s="5"/>
      <c r="E857" s="5"/>
      <c r="F857" s="5"/>
      <c r="G857" s="5"/>
      <c r="H857" s="23"/>
      <c r="I857" s="23"/>
      <c r="J857" s="5"/>
      <c r="K857" s="31">
        <f t="shared" si="65"/>
      </c>
      <c r="L857" s="32">
        <f>IF($A857="","",C857*SUMIFS(Settings!$B$21:$B$25,Settings!$A$21:$A$25,SUMPRODUCT(MAX((Settings!$A$21:$A$25&lt;=$A857)*Settings!$A$21:$A$25)))+D857*SUMIFS(Settings!$C$21:$C$25,Settings!$A$21:$A$25,SUMPRODUCT(MAX((Settings!$A$21:$A$25&lt;=$A857)*Settings!$A$21:$A$25))))</f>
      </c>
      <c r="M857" s="32">
        <f>IF($A857="","",L857*IFERROR(INDEX(Settings!$B$30:$B$36,MATCH($B857,Settings!$A$30:$A$36,0)),0))</f>
      </c>
      <c r="N857" s="32">
        <f t="shared" si="66"/>
      </c>
      <c r="O857" s="33">
        <f t="shared" si="67"/>
      </c>
      <c r="P857" s="32">
        <f t="shared" si="68"/>
      </c>
      <c r="Q857" s="33">
        <f t="shared" si="69"/>
      </c>
    </row>
    <row r="858" spans="1:17" x14ac:dyDescent="0.25">
      <c r="A858" s="22"/>
      <c r="B858" s="5"/>
      <c r="C858" s="5"/>
      <c r="D858" s="5"/>
      <c r="E858" s="5"/>
      <c r="F858" s="5"/>
      <c r="G858" s="5"/>
      <c r="H858" s="23"/>
      <c r="I858" s="23"/>
      <c r="J858" s="5"/>
      <c r="K858" s="31">
        <f t="shared" si="65"/>
      </c>
      <c r="L858" s="32">
        <f>IF($A858="","",C858*SUMIFS(Settings!$B$21:$B$25,Settings!$A$21:$A$25,SUMPRODUCT(MAX((Settings!$A$21:$A$25&lt;=$A858)*Settings!$A$21:$A$25)))+D858*SUMIFS(Settings!$C$21:$C$25,Settings!$A$21:$A$25,SUMPRODUCT(MAX((Settings!$A$21:$A$25&lt;=$A858)*Settings!$A$21:$A$25))))</f>
      </c>
      <c r="M858" s="32">
        <f>IF($A858="","",L858*IFERROR(INDEX(Settings!$B$30:$B$36,MATCH($B858,Settings!$A$30:$A$36,0)),0))</f>
      </c>
      <c r="N858" s="32">
        <f t="shared" si="66"/>
      </c>
      <c r="O858" s="33">
        <f t="shared" si="67"/>
      </c>
      <c r="P858" s="32">
        <f t="shared" si="68"/>
      </c>
      <c r="Q858" s="33">
        <f t="shared" si="69"/>
      </c>
    </row>
    <row r="859" spans="1:17" x14ac:dyDescent="0.25">
      <c r="A859" s="22"/>
      <c r="B859" s="5"/>
      <c r="C859" s="5"/>
      <c r="D859" s="5"/>
      <c r="E859" s="5"/>
      <c r="F859" s="5"/>
      <c r="G859" s="5"/>
      <c r="H859" s="23"/>
      <c r="I859" s="23"/>
      <c r="J859" s="5"/>
      <c r="K859" s="31">
        <f t="shared" si="65"/>
      </c>
      <c r="L859" s="32">
        <f>IF($A859="","",C859*SUMIFS(Settings!$B$21:$B$25,Settings!$A$21:$A$25,SUMPRODUCT(MAX((Settings!$A$21:$A$25&lt;=$A859)*Settings!$A$21:$A$25)))+D859*SUMIFS(Settings!$C$21:$C$25,Settings!$A$21:$A$25,SUMPRODUCT(MAX((Settings!$A$21:$A$25&lt;=$A859)*Settings!$A$21:$A$25))))</f>
      </c>
      <c r="M859" s="32">
        <f>IF($A859="","",L859*IFERROR(INDEX(Settings!$B$30:$B$36,MATCH($B859,Settings!$A$30:$A$36,0)),0))</f>
      </c>
      <c r="N859" s="32">
        <f t="shared" si="66"/>
      </c>
      <c r="O859" s="33">
        <f t="shared" si="67"/>
      </c>
      <c r="P859" s="32">
        <f t="shared" si="68"/>
      </c>
      <c r="Q859" s="33">
        <f t="shared" si="69"/>
      </c>
    </row>
    <row r="860" spans="1:17" x14ac:dyDescent="0.25">
      <c r="A860" s="22"/>
      <c r="B860" s="5"/>
      <c r="C860" s="5"/>
      <c r="D860" s="5"/>
      <c r="E860" s="5"/>
      <c r="F860" s="5"/>
      <c r="G860" s="5"/>
      <c r="H860" s="23"/>
      <c r="I860" s="23"/>
      <c r="J860" s="5"/>
      <c r="K860" s="31">
        <f t="shared" si="65"/>
      </c>
      <c r="L860" s="32">
        <f>IF($A860="","",C860*SUMIFS(Settings!$B$21:$B$25,Settings!$A$21:$A$25,SUMPRODUCT(MAX((Settings!$A$21:$A$25&lt;=$A860)*Settings!$A$21:$A$25)))+D860*SUMIFS(Settings!$C$21:$C$25,Settings!$A$21:$A$25,SUMPRODUCT(MAX((Settings!$A$21:$A$25&lt;=$A860)*Settings!$A$21:$A$25))))</f>
      </c>
      <c r="M860" s="32">
        <f>IF($A860="","",L860*IFERROR(INDEX(Settings!$B$30:$B$36,MATCH($B860,Settings!$A$30:$A$36,0)),0))</f>
      </c>
      <c r="N860" s="32">
        <f t="shared" si="66"/>
      </c>
      <c r="O860" s="33">
        <f t="shared" si="67"/>
      </c>
      <c r="P860" s="32">
        <f t="shared" si="68"/>
      </c>
      <c r="Q860" s="33">
        <f t="shared" si="69"/>
      </c>
    </row>
    <row r="861" spans="1:17" x14ac:dyDescent="0.25">
      <c r="A861" s="22"/>
      <c r="B861" s="5"/>
      <c r="C861" s="5"/>
      <c r="D861" s="5"/>
      <c r="E861" s="5"/>
      <c r="F861" s="5"/>
      <c r="G861" s="5"/>
      <c r="H861" s="23"/>
      <c r="I861" s="23"/>
      <c r="J861" s="5"/>
      <c r="K861" s="31">
        <f t="shared" si="65"/>
      </c>
      <c r="L861" s="32">
        <f>IF($A861="","",C861*SUMIFS(Settings!$B$21:$B$25,Settings!$A$21:$A$25,SUMPRODUCT(MAX((Settings!$A$21:$A$25&lt;=$A861)*Settings!$A$21:$A$25)))+D861*SUMIFS(Settings!$C$21:$C$25,Settings!$A$21:$A$25,SUMPRODUCT(MAX((Settings!$A$21:$A$25&lt;=$A861)*Settings!$A$21:$A$25))))</f>
      </c>
      <c r="M861" s="32">
        <f>IF($A861="","",L861*IFERROR(INDEX(Settings!$B$30:$B$36,MATCH($B861,Settings!$A$30:$A$36,0)),0))</f>
      </c>
      <c r="N861" s="32">
        <f t="shared" si="66"/>
      </c>
      <c r="O861" s="33">
        <f t="shared" si="67"/>
      </c>
      <c r="P861" s="32">
        <f t="shared" si="68"/>
      </c>
      <c r="Q861" s="33">
        <f t="shared" si="69"/>
      </c>
    </row>
    <row r="862" spans="1:17" x14ac:dyDescent="0.25">
      <c r="A862" s="22"/>
      <c r="B862" s="5"/>
      <c r="C862" s="5"/>
      <c r="D862" s="5"/>
      <c r="E862" s="5"/>
      <c r="F862" s="5"/>
      <c r="G862" s="5"/>
      <c r="H862" s="23"/>
      <c r="I862" s="23"/>
      <c r="J862" s="5"/>
      <c r="K862" s="31">
        <f t="shared" si="65"/>
      </c>
      <c r="L862" s="32">
        <f>IF($A862="","",C862*SUMIFS(Settings!$B$21:$B$25,Settings!$A$21:$A$25,SUMPRODUCT(MAX((Settings!$A$21:$A$25&lt;=$A862)*Settings!$A$21:$A$25)))+D862*SUMIFS(Settings!$C$21:$C$25,Settings!$A$21:$A$25,SUMPRODUCT(MAX((Settings!$A$21:$A$25&lt;=$A862)*Settings!$A$21:$A$25))))</f>
      </c>
      <c r="M862" s="32">
        <f>IF($A862="","",L862*IFERROR(INDEX(Settings!$B$30:$B$36,MATCH($B862,Settings!$A$30:$A$36,0)),0))</f>
      </c>
      <c r="N862" s="32">
        <f t="shared" si="66"/>
      </c>
      <c r="O862" s="33">
        <f t="shared" si="67"/>
      </c>
      <c r="P862" s="32">
        <f t="shared" si="68"/>
      </c>
      <c r="Q862" s="33">
        <f t="shared" si="69"/>
      </c>
    </row>
    <row r="863" spans="1:17" x14ac:dyDescent="0.25">
      <c r="A863" s="22"/>
      <c r="B863" s="5"/>
      <c r="C863" s="5"/>
      <c r="D863" s="5"/>
      <c r="E863" s="5"/>
      <c r="F863" s="5"/>
      <c r="G863" s="5"/>
      <c r="H863" s="23"/>
      <c r="I863" s="23"/>
      <c r="J863" s="5"/>
      <c r="K863" s="31">
        <f t="shared" si="65"/>
      </c>
      <c r="L863" s="32">
        <f>IF($A863="","",C863*SUMIFS(Settings!$B$21:$B$25,Settings!$A$21:$A$25,SUMPRODUCT(MAX((Settings!$A$21:$A$25&lt;=$A863)*Settings!$A$21:$A$25)))+D863*SUMIFS(Settings!$C$21:$C$25,Settings!$A$21:$A$25,SUMPRODUCT(MAX((Settings!$A$21:$A$25&lt;=$A863)*Settings!$A$21:$A$25))))</f>
      </c>
      <c r="M863" s="32">
        <f>IF($A863="","",L863*IFERROR(INDEX(Settings!$B$30:$B$36,MATCH($B863,Settings!$A$30:$A$36,0)),0))</f>
      </c>
      <c r="N863" s="32">
        <f t="shared" si="66"/>
      </c>
      <c r="O863" s="33">
        <f t="shared" si="67"/>
      </c>
      <c r="P863" s="32">
        <f t="shared" si="68"/>
      </c>
      <c r="Q863" s="33">
        <f t="shared" si="69"/>
      </c>
    </row>
    <row r="864" spans="1:17" x14ac:dyDescent="0.25">
      <c r="A864" s="22"/>
      <c r="B864" s="5"/>
      <c r="C864" s="5"/>
      <c r="D864" s="5"/>
      <c r="E864" s="5"/>
      <c r="F864" s="5"/>
      <c r="G864" s="5"/>
      <c r="H864" s="23"/>
      <c r="I864" s="23"/>
      <c r="J864" s="5"/>
      <c r="K864" s="31">
        <f t="shared" si="65"/>
      </c>
      <c r="L864" s="32">
        <f>IF($A864="","",C864*SUMIFS(Settings!$B$21:$B$25,Settings!$A$21:$A$25,SUMPRODUCT(MAX((Settings!$A$21:$A$25&lt;=$A864)*Settings!$A$21:$A$25)))+D864*SUMIFS(Settings!$C$21:$C$25,Settings!$A$21:$A$25,SUMPRODUCT(MAX((Settings!$A$21:$A$25&lt;=$A864)*Settings!$A$21:$A$25))))</f>
      </c>
      <c r="M864" s="32">
        <f>IF($A864="","",L864*IFERROR(INDEX(Settings!$B$30:$B$36,MATCH($B864,Settings!$A$30:$A$36,0)),0))</f>
      </c>
      <c r="N864" s="32">
        <f t="shared" si="66"/>
      </c>
      <c r="O864" s="33">
        <f t="shared" si="67"/>
      </c>
      <c r="P864" s="32">
        <f t="shared" si="68"/>
      </c>
      <c r="Q864" s="33">
        <f t="shared" si="69"/>
      </c>
    </row>
    <row r="865" spans="1:17" x14ac:dyDescent="0.25">
      <c r="A865" s="22"/>
      <c r="B865" s="5"/>
      <c r="C865" s="5"/>
      <c r="D865" s="5"/>
      <c r="E865" s="5"/>
      <c r="F865" s="5"/>
      <c r="G865" s="5"/>
      <c r="H865" s="23"/>
      <c r="I865" s="23"/>
      <c r="J865" s="5"/>
      <c r="K865" s="31">
        <f t="shared" si="65"/>
      </c>
      <c r="L865" s="32">
        <f>IF($A865="","",C865*SUMIFS(Settings!$B$21:$B$25,Settings!$A$21:$A$25,SUMPRODUCT(MAX((Settings!$A$21:$A$25&lt;=$A865)*Settings!$A$21:$A$25)))+D865*SUMIFS(Settings!$C$21:$C$25,Settings!$A$21:$A$25,SUMPRODUCT(MAX((Settings!$A$21:$A$25&lt;=$A865)*Settings!$A$21:$A$25))))</f>
      </c>
      <c r="M865" s="32">
        <f>IF($A865="","",L865*IFERROR(INDEX(Settings!$B$30:$B$36,MATCH($B865,Settings!$A$30:$A$36,0)),0))</f>
      </c>
      <c r="N865" s="32">
        <f t="shared" si="66"/>
      </c>
      <c r="O865" s="33">
        <f t="shared" si="67"/>
      </c>
      <c r="P865" s="32">
        <f t="shared" si="68"/>
      </c>
      <c r="Q865" s="33">
        <f t="shared" si="69"/>
      </c>
    </row>
    <row r="866" spans="1:17" x14ac:dyDescent="0.25">
      <c r="A866" s="22"/>
      <c r="B866" s="5"/>
      <c r="C866" s="5"/>
      <c r="D866" s="5"/>
      <c r="E866" s="5"/>
      <c r="F866" s="5"/>
      <c r="G866" s="5"/>
      <c r="H866" s="23"/>
      <c r="I866" s="23"/>
      <c r="J866" s="5"/>
      <c r="K866" s="31">
        <f t="shared" si="65"/>
      </c>
      <c r="L866" s="32">
        <f>IF($A866="","",C866*SUMIFS(Settings!$B$21:$B$25,Settings!$A$21:$A$25,SUMPRODUCT(MAX((Settings!$A$21:$A$25&lt;=$A866)*Settings!$A$21:$A$25)))+D866*SUMIFS(Settings!$C$21:$C$25,Settings!$A$21:$A$25,SUMPRODUCT(MAX((Settings!$A$21:$A$25&lt;=$A866)*Settings!$A$21:$A$25))))</f>
      </c>
      <c r="M866" s="32">
        <f>IF($A866="","",L866*IFERROR(INDEX(Settings!$B$30:$B$36,MATCH($B866,Settings!$A$30:$A$36,0)),0))</f>
      </c>
      <c r="N866" s="32">
        <f t="shared" si="66"/>
      </c>
      <c r="O866" s="33">
        <f t="shared" si="67"/>
      </c>
      <c r="P866" s="32">
        <f t="shared" si="68"/>
      </c>
      <c r="Q866" s="33">
        <f t="shared" si="69"/>
      </c>
    </row>
    <row r="867" spans="1:17" x14ac:dyDescent="0.25">
      <c r="A867" s="22"/>
      <c r="B867" s="5"/>
      <c r="C867" s="5"/>
      <c r="D867" s="5"/>
      <c r="E867" s="5"/>
      <c r="F867" s="5"/>
      <c r="G867" s="5"/>
      <c r="H867" s="23"/>
      <c r="I867" s="23"/>
      <c r="J867" s="5"/>
      <c r="K867" s="31">
        <f t="shared" si="65"/>
      </c>
      <c r="L867" s="32">
        <f>IF($A867="","",C867*SUMIFS(Settings!$B$21:$B$25,Settings!$A$21:$A$25,SUMPRODUCT(MAX((Settings!$A$21:$A$25&lt;=$A867)*Settings!$A$21:$A$25)))+D867*SUMIFS(Settings!$C$21:$C$25,Settings!$A$21:$A$25,SUMPRODUCT(MAX((Settings!$A$21:$A$25&lt;=$A867)*Settings!$A$21:$A$25))))</f>
      </c>
      <c r="M867" s="32">
        <f>IF($A867="","",L867*IFERROR(INDEX(Settings!$B$30:$B$36,MATCH($B867,Settings!$A$30:$A$36,0)),0))</f>
      </c>
      <c r="N867" s="32">
        <f t="shared" si="66"/>
      </c>
      <c r="O867" s="33">
        <f t="shared" si="67"/>
      </c>
      <c r="P867" s="32">
        <f t="shared" si="68"/>
      </c>
      <c r="Q867" s="33">
        <f t="shared" si="69"/>
      </c>
    </row>
    <row r="868" spans="1:17" x14ac:dyDescent="0.25">
      <c r="A868" s="22"/>
      <c r="B868" s="5"/>
      <c r="C868" s="5"/>
      <c r="D868" s="5"/>
      <c r="E868" s="5"/>
      <c r="F868" s="5"/>
      <c r="G868" s="5"/>
      <c r="H868" s="23"/>
      <c r="I868" s="23"/>
      <c r="J868" s="5"/>
      <c r="K868" s="31">
        <f t="shared" si="65"/>
      </c>
      <c r="L868" s="32">
        <f>IF($A868="","",C868*SUMIFS(Settings!$B$21:$B$25,Settings!$A$21:$A$25,SUMPRODUCT(MAX((Settings!$A$21:$A$25&lt;=$A868)*Settings!$A$21:$A$25)))+D868*SUMIFS(Settings!$C$21:$C$25,Settings!$A$21:$A$25,SUMPRODUCT(MAX((Settings!$A$21:$A$25&lt;=$A868)*Settings!$A$21:$A$25))))</f>
      </c>
      <c r="M868" s="32">
        <f>IF($A868="","",L868*IFERROR(INDEX(Settings!$B$30:$B$36,MATCH($B868,Settings!$A$30:$A$36,0)),0))</f>
      </c>
      <c r="N868" s="32">
        <f t="shared" si="66"/>
      </c>
      <c r="O868" s="33">
        <f t="shared" si="67"/>
      </c>
      <c r="P868" s="32">
        <f t="shared" si="68"/>
      </c>
      <c r="Q868" s="33">
        <f t="shared" si="69"/>
      </c>
    </row>
    <row r="869" spans="1:17" x14ac:dyDescent="0.25">
      <c r="A869" s="22"/>
      <c r="B869" s="5"/>
      <c r="C869" s="5"/>
      <c r="D869" s="5"/>
      <c r="E869" s="5"/>
      <c r="F869" s="5"/>
      <c r="G869" s="5"/>
      <c r="H869" s="23"/>
      <c r="I869" s="23"/>
      <c r="J869" s="5"/>
      <c r="K869" s="31">
        <f t="shared" si="65"/>
      </c>
      <c r="L869" s="32">
        <f>IF($A869="","",C869*SUMIFS(Settings!$B$21:$B$25,Settings!$A$21:$A$25,SUMPRODUCT(MAX((Settings!$A$21:$A$25&lt;=$A869)*Settings!$A$21:$A$25)))+D869*SUMIFS(Settings!$C$21:$C$25,Settings!$A$21:$A$25,SUMPRODUCT(MAX((Settings!$A$21:$A$25&lt;=$A869)*Settings!$A$21:$A$25))))</f>
      </c>
      <c r="M869" s="32">
        <f>IF($A869="","",L869*IFERROR(INDEX(Settings!$B$30:$B$36,MATCH($B869,Settings!$A$30:$A$36,0)),0))</f>
      </c>
      <c r="N869" s="32">
        <f t="shared" si="66"/>
      </c>
      <c r="O869" s="33">
        <f t="shared" si="67"/>
      </c>
      <c r="P869" s="32">
        <f t="shared" si="68"/>
      </c>
      <c r="Q869" s="33">
        <f t="shared" si="69"/>
      </c>
    </row>
    <row r="870" spans="1:17" x14ac:dyDescent="0.25">
      <c r="A870" s="22"/>
      <c r="B870" s="5"/>
      <c r="C870" s="5"/>
      <c r="D870" s="5"/>
      <c r="E870" s="5"/>
      <c r="F870" s="5"/>
      <c r="G870" s="5"/>
      <c r="H870" s="23"/>
      <c r="I870" s="23"/>
      <c r="J870" s="5"/>
      <c r="K870" s="31">
        <f t="shared" si="65"/>
      </c>
      <c r="L870" s="32">
        <f>IF($A870="","",C870*SUMIFS(Settings!$B$21:$B$25,Settings!$A$21:$A$25,SUMPRODUCT(MAX((Settings!$A$21:$A$25&lt;=$A870)*Settings!$A$21:$A$25)))+D870*SUMIFS(Settings!$C$21:$C$25,Settings!$A$21:$A$25,SUMPRODUCT(MAX((Settings!$A$21:$A$25&lt;=$A870)*Settings!$A$21:$A$25))))</f>
      </c>
      <c r="M870" s="32">
        <f>IF($A870="","",L870*IFERROR(INDEX(Settings!$B$30:$B$36,MATCH($B870,Settings!$A$30:$A$36,0)),0))</f>
      </c>
      <c r="N870" s="32">
        <f t="shared" si="66"/>
      </c>
      <c r="O870" s="33">
        <f t="shared" si="67"/>
      </c>
      <c r="P870" s="32">
        <f t="shared" si="68"/>
      </c>
      <c r="Q870" s="33">
        <f t="shared" si="69"/>
      </c>
    </row>
    <row r="871" spans="1:17" x14ac:dyDescent="0.25">
      <c r="A871" s="22"/>
      <c r="B871" s="5"/>
      <c r="C871" s="5"/>
      <c r="D871" s="5"/>
      <c r="E871" s="5"/>
      <c r="F871" s="5"/>
      <c r="G871" s="5"/>
      <c r="H871" s="23"/>
      <c r="I871" s="23"/>
      <c r="J871" s="5"/>
      <c r="K871" s="31">
        <f t="shared" si="65"/>
      </c>
      <c r="L871" s="32">
        <f>IF($A871="","",C871*SUMIFS(Settings!$B$21:$B$25,Settings!$A$21:$A$25,SUMPRODUCT(MAX((Settings!$A$21:$A$25&lt;=$A871)*Settings!$A$21:$A$25)))+D871*SUMIFS(Settings!$C$21:$C$25,Settings!$A$21:$A$25,SUMPRODUCT(MAX((Settings!$A$21:$A$25&lt;=$A871)*Settings!$A$21:$A$25))))</f>
      </c>
      <c r="M871" s="32">
        <f>IF($A871="","",L871*IFERROR(INDEX(Settings!$B$30:$B$36,MATCH($B871,Settings!$A$30:$A$36,0)),0))</f>
      </c>
      <c r="N871" s="32">
        <f t="shared" si="66"/>
      </c>
      <c r="O871" s="33">
        <f t="shared" si="67"/>
      </c>
      <c r="P871" s="32">
        <f t="shared" si="68"/>
      </c>
      <c r="Q871" s="33">
        <f t="shared" si="69"/>
      </c>
    </row>
    <row r="872" spans="1:17" x14ac:dyDescent="0.25">
      <c r="A872" s="22"/>
      <c r="B872" s="5"/>
      <c r="C872" s="5"/>
      <c r="D872" s="5"/>
      <c r="E872" s="5"/>
      <c r="F872" s="5"/>
      <c r="G872" s="5"/>
      <c r="H872" s="23"/>
      <c r="I872" s="23"/>
      <c r="J872" s="5"/>
      <c r="K872" s="31">
        <f t="shared" si="65"/>
      </c>
      <c r="L872" s="32">
        <f>IF($A872="","",C872*SUMIFS(Settings!$B$21:$B$25,Settings!$A$21:$A$25,SUMPRODUCT(MAX((Settings!$A$21:$A$25&lt;=$A872)*Settings!$A$21:$A$25)))+D872*SUMIFS(Settings!$C$21:$C$25,Settings!$A$21:$A$25,SUMPRODUCT(MAX((Settings!$A$21:$A$25&lt;=$A872)*Settings!$A$21:$A$25))))</f>
      </c>
      <c r="M872" s="32">
        <f>IF($A872="","",L872*IFERROR(INDEX(Settings!$B$30:$B$36,MATCH($B872,Settings!$A$30:$A$36,0)),0))</f>
      </c>
      <c r="N872" s="32">
        <f t="shared" si="66"/>
      </c>
      <c r="O872" s="33">
        <f t="shared" si="67"/>
      </c>
      <c r="P872" s="32">
        <f t="shared" si="68"/>
      </c>
      <c r="Q872" s="33">
        <f t="shared" si="69"/>
      </c>
    </row>
    <row r="873" spans="1:17" x14ac:dyDescent="0.25">
      <c r="A873" s="22"/>
      <c r="B873" s="5"/>
      <c r="C873" s="5"/>
      <c r="D873" s="5"/>
      <c r="E873" s="5"/>
      <c r="F873" s="5"/>
      <c r="G873" s="5"/>
      <c r="H873" s="23"/>
      <c r="I873" s="23"/>
      <c r="J873" s="5"/>
      <c r="K873" s="31">
        <f t="shared" si="65"/>
      </c>
      <c r="L873" s="32">
        <f>IF($A873="","",C873*SUMIFS(Settings!$B$21:$B$25,Settings!$A$21:$A$25,SUMPRODUCT(MAX((Settings!$A$21:$A$25&lt;=$A873)*Settings!$A$21:$A$25)))+D873*SUMIFS(Settings!$C$21:$C$25,Settings!$A$21:$A$25,SUMPRODUCT(MAX((Settings!$A$21:$A$25&lt;=$A873)*Settings!$A$21:$A$25))))</f>
      </c>
      <c r="M873" s="32">
        <f>IF($A873="","",L873*IFERROR(INDEX(Settings!$B$30:$B$36,MATCH($B873,Settings!$A$30:$A$36,0)),0))</f>
      </c>
      <c r="N873" s="32">
        <f t="shared" si="66"/>
      </c>
      <c r="O873" s="33">
        <f t="shared" si="67"/>
      </c>
      <c r="P873" s="32">
        <f t="shared" si="68"/>
      </c>
      <c r="Q873" s="33">
        <f t="shared" si="69"/>
      </c>
    </row>
    <row r="874" spans="1:17" x14ac:dyDescent="0.25">
      <c r="A874" s="22"/>
      <c r="B874" s="5"/>
      <c r="C874" s="5"/>
      <c r="D874" s="5"/>
      <c r="E874" s="5"/>
      <c r="F874" s="5"/>
      <c r="G874" s="5"/>
      <c r="H874" s="23"/>
      <c r="I874" s="23"/>
      <c r="J874" s="5"/>
      <c r="K874" s="31">
        <f t="shared" si="65"/>
      </c>
      <c r="L874" s="32">
        <f>IF($A874="","",C874*SUMIFS(Settings!$B$21:$B$25,Settings!$A$21:$A$25,SUMPRODUCT(MAX((Settings!$A$21:$A$25&lt;=$A874)*Settings!$A$21:$A$25)))+D874*SUMIFS(Settings!$C$21:$C$25,Settings!$A$21:$A$25,SUMPRODUCT(MAX((Settings!$A$21:$A$25&lt;=$A874)*Settings!$A$21:$A$25))))</f>
      </c>
      <c r="M874" s="32">
        <f>IF($A874="","",L874*IFERROR(INDEX(Settings!$B$30:$B$36,MATCH($B874,Settings!$A$30:$A$36,0)),0))</f>
      </c>
      <c r="N874" s="32">
        <f t="shared" si="66"/>
      </c>
      <c r="O874" s="33">
        <f t="shared" si="67"/>
      </c>
      <c r="P874" s="32">
        <f t="shared" si="68"/>
      </c>
      <c r="Q874" s="33">
        <f t="shared" si="69"/>
      </c>
    </row>
    <row r="875" spans="1:17" x14ac:dyDescent="0.25">
      <c r="A875" s="22"/>
      <c r="B875" s="5"/>
      <c r="C875" s="5"/>
      <c r="D875" s="5"/>
      <c r="E875" s="5"/>
      <c r="F875" s="5"/>
      <c r="G875" s="5"/>
      <c r="H875" s="23"/>
      <c r="I875" s="23"/>
      <c r="J875" s="5"/>
      <c r="K875" s="31">
        <f t="shared" si="65"/>
      </c>
      <c r="L875" s="32">
        <f>IF($A875="","",C875*SUMIFS(Settings!$B$21:$B$25,Settings!$A$21:$A$25,SUMPRODUCT(MAX((Settings!$A$21:$A$25&lt;=$A875)*Settings!$A$21:$A$25)))+D875*SUMIFS(Settings!$C$21:$C$25,Settings!$A$21:$A$25,SUMPRODUCT(MAX((Settings!$A$21:$A$25&lt;=$A875)*Settings!$A$21:$A$25))))</f>
      </c>
      <c r="M875" s="32">
        <f>IF($A875="","",L875*IFERROR(INDEX(Settings!$B$30:$B$36,MATCH($B875,Settings!$A$30:$A$36,0)),0))</f>
      </c>
      <c r="N875" s="32">
        <f t="shared" si="66"/>
      </c>
      <c r="O875" s="33">
        <f t="shared" si="67"/>
      </c>
      <c r="P875" s="32">
        <f t="shared" si="68"/>
      </c>
      <c r="Q875" s="33">
        <f t="shared" si="69"/>
      </c>
    </row>
    <row r="876" spans="1:17" x14ac:dyDescent="0.25">
      <c r="A876" s="22"/>
      <c r="B876" s="5"/>
      <c r="C876" s="5"/>
      <c r="D876" s="5"/>
      <c r="E876" s="5"/>
      <c r="F876" s="5"/>
      <c r="G876" s="5"/>
      <c r="H876" s="23"/>
      <c r="I876" s="23"/>
      <c r="J876" s="5"/>
      <c r="K876" s="31">
        <f t="shared" si="65"/>
      </c>
      <c r="L876" s="32">
        <f>IF($A876="","",C876*SUMIFS(Settings!$B$21:$B$25,Settings!$A$21:$A$25,SUMPRODUCT(MAX((Settings!$A$21:$A$25&lt;=$A876)*Settings!$A$21:$A$25)))+D876*SUMIFS(Settings!$C$21:$C$25,Settings!$A$21:$A$25,SUMPRODUCT(MAX((Settings!$A$21:$A$25&lt;=$A876)*Settings!$A$21:$A$25))))</f>
      </c>
      <c r="M876" s="32">
        <f>IF($A876="","",L876*IFERROR(INDEX(Settings!$B$30:$B$36,MATCH($B876,Settings!$A$30:$A$36,0)),0))</f>
      </c>
      <c r="N876" s="32">
        <f t="shared" si="66"/>
      </c>
      <c r="O876" s="33">
        <f t="shared" si="67"/>
      </c>
      <c r="P876" s="32">
        <f t="shared" si="68"/>
      </c>
      <c r="Q876" s="33">
        <f t="shared" si="69"/>
      </c>
    </row>
    <row r="877" spans="1:17" x14ac:dyDescent="0.25">
      <c r="A877" s="22"/>
      <c r="B877" s="5"/>
      <c r="C877" s="5"/>
      <c r="D877" s="5"/>
      <c r="E877" s="5"/>
      <c r="F877" s="5"/>
      <c r="G877" s="5"/>
      <c r="H877" s="23"/>
      <c r="I877" s="23"/>
      <c r="J877" s="5"/>
      <c r="K877" s="31">
        <f t="shared" si="65"/>
      </c>
      <c r="L877" s="32">
        <f>IF($A877="","",C877*SUMIFS(Settings!$B$21:$B$25,Settings!$A$21:$A$25,SUMPRODUCT(MAX((Settings!$A$21:$A$25&lt;=$A877)*Settings!$A$21:$A$25)))+D877*SUMIFS(Settings!$C$21:$C$25,Settings!$A$21:$A$25,SUMPRODUCT(MAX((Settings!$A$21:$A$25&lt;=$A877)*Settings!$A$21:$A$25))))</f>
      </c>
      <c r="M877" s="32">
        <f>IF($A877="","",L877*IFERROR(INDEX(Settings!$B$30:$B$36,MATCH($B877,Settings!$A$30:$A$36,0)),0))</f>
      </c>
      <c r="N877" s="32">
        <f t="shared" si="66"/>
      </c>
      <c r="O877" s="33">
        <f t="shared" si="67"/>
      </c>
      <c r="P877" s="32">
        <f t="shared" si="68"/>
      </c>
      <c r="Q877" s="33">
        <f t="shared" si="69"/>
      </c>
    </row>
    <row r="878" spans="1:17" x14ac:dyDescent="0.25">
      <c r="A878" s="22"/>
      <c r="B878" s="5"/>
      <c r="C878" s="5"/>
      <c r="D878" s="5"/>
      <c r="E878" s="5"/>
      <c r="F878" s="5"/>
      <c r="G878" s="5"/>
      <c r="H878" s="23"/>
      <c r="I878" s="23"/>
      <c r="J878" s="5"/>
      <c r="K878" s="31">
        <f t="shared" si="65"/>
      </c>
      <c r="L878" s="32">
        <f>IF($A878="","",C878*SUMIFS(Settings!$B$21:$B$25,Settings!$A$21:$A$25,SUMPRODUCT(MAX((Settings!$A$21:$A$25&lt;=$A878)*Settings!$A$21:$A$25)))+D878*SUMIFS(Settings!$C$21:$C$25,Settings!$A$21:$A$25,SUMPRODUCT(MAX((Settings!$A$21:$A$25&lt;=$A878)*Settings!$A$21:$A$25))))</f>
      </c>
      <c r="M878" s="32">
        <f>IF($A878="","",L878*IFERROR(INDEX(Settings!$B$30:$B$36,MATCH($B878,Settings!$A$30:$A$36,0)),0))</f>
      </c>
      <c r="N878" s="32">
        <f t="shared" si="66"/>
      </c>
      <c r="O878" s="33">
        <f t="shared" si="67"/>
      </c>
      <c r="P878" s="32">
        <f t="shared" si="68"/>
      </c>
      <c r="Q878" s="33">
        <f t="shared" si="69"/>
      </c>
    </row>
    <row r="879" spans="1:17" x14ac:dyDescent="0.25">
      <c r="A879" s="22"/>
      <c r="B879" s="5"/>
      <c r="C879" s="5"/>
      <c r="D879" s="5"/>
      <c r="E879" s="5"/>
      <c r="F879" s="5"/>
      <c r="G879" s="5"/>
      <c r="H879" s="23"/>
      <c r="I879" s="23"/>
      <c r="J879" s="5"/>
      <c r="K879" s="31">
        <f t="shared" si="65"/>
      </c>
      <c r="L879" s="32">
        <f>IF($A879="","",C879*SUMIFS(Settings!$B$21:$B$25,Settings!$A$21:$A$25,SUMPRODUCT(MAX((Settings!$A$21:$A$25&lt;=$A879)*Settings!$A$21:$A$25)))+D879*SUMIFS(Settings!$C$21:$C$25,Settings!$A$21:$A$25,SUMPRODUCT(MAX((Settings!$A$21:$A$25&lt;=$A879)*Settings!$A$21:$A$25))))</f>
      </c>
      <c r="M879" s="32">
        <f>IF($A879="","",L879*IFERROR(INDEX(Settings!$B$30:$B$36,MATCH($B879,Settings!$A$30:$A$36,0)),0))</f>
      </c>
      <c r="N879" s="32">
        <f t="shared" si="66"/>
      </c>
      <c r="O879" s="33">
        <f t="shared" si="67"/>
      </c>
      <c r="P879" s="32">
        <f t="shared" si="68"/>
      </c>
      <c r="Q879" s="33">
        <f t="shared" si="69"/>
      </c>
    </row>
    <row r="880" spans="1:17" x14ac:dyDescent="0.25">
      <c r="A880" s="22"/>
      <c r="B880" s="5"/>
      <c r="C880" s="5"/>
      <c r="D880" s="5"/>
      <c r="E880" s="5"/>
      <c r="F880" s="5"/>
      <c r="G880" s="5"/>
      <c r="H880" s="23"/>
      <c r="I880" s="23"/>
      <c r="J880" s="5"/>
      <c r="K880" s="31">
        <f t="shared" si="65"/>
      </c>
      <c r="L880" s="32">
        <f>IF($A880="","",C880*SUMIFS(Settings!$B$21:$B$25,Settings!$A$21:$A$25,SUMPRODUCT(MAX((Settings!$A$21:$A$25&lt;=$A880)*Settings!$A$21:$A$25)))+D880*SUMIFS(Settings!$C$21:$C$25,Settings!$A$21:$A$25,SUMPRODUCT(MAX((Settings!$A$21:$A$25&lt;=$A880)*Settings!$A$21:$A$25))))</f>
      </c>
      <c r="M880" s="32">
        <f>IF($A880="","",L880*IFERROR(INDEX(Settings!$B$30:$B$36,MATCH($B880,Settings!$A$30:$A$36,0)),0))</f>
      </c>
      <c r="N880" s="32">
        <f t="shared" si="66"/>
      </c>
      <c r="O880" s="33">
        <f t="shared" si="67"/>
      </c>
      <c r="P880" s="32">
        <f t="shared" si="68"/>
      </c>
      <c r="Q880" s="33">
        <f t="shared" si="69"/>
      </c>
    </row>
    <row r="881" spans="1:17" x14ac:dyDescent="0.25">
      <c r="A881" s="22"/>
      <c r="B881" s="5"/>
      <c r="C881" s="5"/>
      <c r="D881" s="5"/>
      <c r="E881" s="5"/>
      <c r="F881" s="5"/>
      <c r="G881" s="5"/>
      <c r="H881" s="23"/>
      <c r="I881" s="23"/>
      <c r="J881" s="5"/>
      <c r="K881" s="31">
        <f t="shared" si="65"/>
      </c>
      <c r="L881" s="32">
        <f>IF($A881="","",C881*SUMIFS(Settings!$B$21:$B$25,Settings!$A$21:$A$25,SUMPRODUCT(MAX((Settings!$A$21:$A$25&lt;=$A881)*Settings!$A$21:$A$25)))+D881*SUMIFS(Settings!$C$21:$C$25,Settings!$A$21:$A$25,SUMPRODUCT(MAX((Settings!$A$21:$A$25&lt;=$A881)*Settings!$A$21:$A$25))))</f>
      </c>
      <c r="M881" s="32">
        <f>IF($A881="","",L881*IFERROR(INDEX(Settings!$B$30:$B$36,MATCH($B881,Settings!$A$30:$A$36,0)),0))</f>
      </c>
      <c r="N881" s="32">
        <f t="shared" si="66"/>
      </c>
      <c r="O881" s="33">
        <f t="shared" si="67"/>
      </c>
      <c r="P881" s="32">
        <f t="shared" si="68"/>
      </c>
      <c r="Q881" s="33">
        <f t="shared" si="69"/>
      </c>
    </row>
    <row r="882" spans="1:17" x14ac:dyDescent="0.25">
      <c r="A882" s="22"/>
      <c r="B882" s="5"/>
      <c r="C882" s="5"/>
      <c r="D882" s="5"/>
      <c r="E882" s="5"/>
      <c r="F882" s="5"/>
      <c r="G882" s="5"/>
      <c r="H882" s="23"/>
      <c r="I882" s="23"/>
      <c r="J882" s="5"/>
      <c r="K882" s="31">
        <f t="shared" si="65"/>
      </c>
      <c r="L882" s="32">
        <f>IF($A882="","",C882*SUMIFS(Settings!$B$21:$B$25,Settings!$A$21:$A$25,SUMPRODUCT(MAX((Settings!$A$21:$A$25&lt;=$A882)*Settings!$A$21:$A$25)))+D882*SUMIFS(Settings!$C$21:$C$25,Settings!$A$21:$A$25,SUMPRODUCT(MAX((Settings!$A$21:$A$25&lt;=$A882)*Settings!$A$21:$A$25))))</f>
      </c>
      <c r="M882" s="32">
        <f>IF($A882="","",L882*IFERROR(INDEX(Settings!$B$30:$B$36,MATCH($B882,Settings!$A$30:$A$36,0)),0))</f>
      </c>
      <c r="N882" s="32">
        <f t="shared" si="66"/>
      </c>
      <c r="O882" s="33">
        <f t="shared" si="67"/>
      </c>
      <c r="P882" s="32">
        <f t="shared" si="68"/>
      </c>
      <c r="Q882" s="33">
        <f t="shared" si="69"/>
      </c>
    </row>
    <row r="883" spans="1:17" x14ac:dyDescent="0.25">
      <c r="A883" s="22"/>
      <c r="B883" s="5"/>
      <c r="C883" s="5"/>
      <c r="D883" s="5"/>
      <c r="E883" s="5"/>
      <c r="F883" s="5"/>
      <c r="G883" s="5"/>
      <c r="H883" s="23"/>
      <c r="I883" s="23"/>
      <c r="J883" s="5"/>
      <c r="K883" s="31">
        <f t="shared" si="65"/>
      </c>
      <c r="L883" s="32">
        <f>IF($A883="","",C883*SUMIFS(Settings!$B$21:$B$25,Settings!$A$21:$A$25,SUMPRODUCT(MAX((Settings!$A$21:$A$25&lt;=$A883)*Settings!$A$21:$A$25)))+D883*SUMIFS(Settings!$C$21:$C$25,Settings!$A$21:$A$25,SUMPRODUCT(MAX((Settings!$A$21:$A$25&lt;=$A883)*Settings!$A$21:$A$25))))</f>
      </c>
      <c r="M883" s="32">
        <f>IF($A883="","",L883*IFERROR(INDEX(Settings!$B$30:$B$36,MATCH($B883,Settings!$A$30:$A$36,0)),0))</f>
      </c>
      <c r="N883" s="32">
        <f t="shared" si="66"/>
      </c>
      <c r="O883" s="33">
        <f t="shared" si="67"/>
      </c>
      <c r="P883" s="32">
        <f t="shared" si="68"/>
      </c>
      <c r="Q883" s="33">
        <f t="shared" si="69"/>
      </c>
    </row>
    <row r="884" spans="1:17" x14ac:dyDescent="0.25">
      <c r="A884" s="22"/>
      <c r="B884" s="5"/>
      <c r="C884" s="5"/>
      <c r="D884" s="5"/>
      <c r="E884" s="5"/>
      <c r="F884" s="5"/>
      <c r="G884" s="5"/>
      <c r="H884" s="23"/>
      <c r="I884" s="23"/>
      <c r="J884" s="5"/>
      <c r="K884" s="31">
        <f t="shared" si="65"/>
      </c>
      <c r="L884" s="32">
        <f>IF($A884="","",C884*SUMIFS(Settings!$B$21:$B$25,Settings!$A$21:$A$25,SUMPRODUCT(MAX((Settings!$A$21:$A$25&lt;=$A884)*Settings!$A$21:$A$25)))+D884*SUMIFS(Settings!$C$21:$C$25,Settings!$A$21:$A$25,SUMPRODUCT(MAX((Settings!$A$21:$A$25&lt;=$A884)*Settings!$A$21:$A$25))))</f>
      </c>
      <c r="M884" s="32">
        <f>IF($A884="","",L884*IFERROR(INDEX(Settings!$B$30:$B$36,MATCH($B884,Settings!$A$30:$A$36,0)),0))</f>
      </c>
      <c r="N884" s="32">
        <f t="shared" si="66"/>
      </c>
      <c r="O884" s="33">
        <f t="shared" si="67"/>
      </c>
      <c r="P884" s="32">
        <f t="shared" si="68"/>
      </c>
      <c r="Q884" s="33">
        <f t="shared" si="69"/>
      </c>
    </row>
    <row r="885" spans="1:17" x14ac:dyDescent="0.25">
      <c r="A885" s="22"/>
      <c r="B885" s="5"/>
      <c r="C885" s="5"/>
      <c r="D885" s="5"/>
      <c r="E885" s="5"/>
      <c r="F885" s="5"/>
      <c r="G885" s="5"/>
      <c r="H885" s="23"/>
      <c r="I885" s="23"/>
      <c r="J885" s="5"/>
      <c r="K885" s="31">
        <f t="shared" si="65"/>
      </c>
      <c r="L885" s="32">
        <f>IF($A885="","",C885*SUMIFS(Settings!$B$21:$B$25,Settings!$A$21:$A$25,SUMPRODUCT(MAX((Settings!$A$21:$A$25&lt;=$A885)*Settings!$A$21:$A$25)))+D885*SUMIFS(Settings!$C$21:$C$25,Settings!$A$21:$A$25,SUMPRODUCT(MAX((Settings!$A$21:$A$25&lt;=$A885)*Settings!$A$21:$A$25))))</f>
      </c>
      <c r="M885" s="32">
        <f>IF($A885="","",L885*IFERROR(INDEX(Settings!$B$30:$B$36,MATCH($B885,Settings!$A$30:$A$36,0)),0))</f>
      </c>
      <c r="N885" s="32">
        <f t="shared" si="66"/>
      </c>
      <c r="O885" s="33">
        <f t="shared" si="67"/>
      </c>
      <c r="P885" s="32">
        <f t="shared" si="68"/>
      </c>
      <c r="Q885" s="33">
        <f t="shared" si="69"/>
      </c>
    </row>
    <row r="886" spans="1:17" x14ac:dyDescent="0.25">
      <c r="A886" s="22"/>
      <c r="B886" s="5"/>
      <c r="C886" s="5"/>
      <c r="D886" s="5"/>
      <c r="E886" s="5"/>
      <c r="F886" s="5"/>
      <c r="G886" s="5"/>
      <c r="H886" s="23"/>
      <c r="I886" s="23"/>
      <c r="J886" s="5"/>
      <c r="K886" s="31">
        <f t="shared" si="65"/>
      </c>
      <c r="L886" s="32">
        <f>IF($A886="","",C886*SUMIFS(Settings!$B$21:$B$25,Settings!$A$21:$A$25,SUMPRODUCT(MAX((Settings!$A$21:$A$25&lt;=$A886)*Settings!$A$21:$A$25)))+D886*SUMIFS(Settings!$C$21:$C$25,Settings!$A$21:$A$25,SUMPRODUCT(MAX((Settings!$A$21:$A$25&lt;=$A886)*Settings!$A$21:$A$25))))</f>
      </c>
      <c r="M886" s="32">
        <f>IF($A886="","",L886*IFERROR(INDEX(Settings!$B$30:$B$36,MATCH($B886,Settings!$A$30:$A$36,0)),0))</f>
      </c>
      <c r="N886" s="32">
        <f t="shared" si="66"/>
      </c>
      <c r="O886" s="33">
        <f t="shared" si="67"/>
      </c>
      <c r="P886" s="32">
        <f t="shared" si="68"/>
      </c>
      <c r="Q886" s="33">
        <f t="shared" si="69"/>
      </c>
    </row>
    <row r="887" spans="1:17" x14ac:dyDescent="0.25">
      <c r="A887" s="22"/>
      <c r="B887" s="5"/>
      <c r="C887" s="5"/>
      <c r="D887" s="5"/>
      <c r="E887" s="5"/>
      <c r="F887" s="5"/>
      <c r="G887" s="5"/>
      <c r="H887" s="23"/>
      <c r="I887" s="23"/>
      <c r="J887" s="5"/>
      <c r="K887" s="31">
        <f t="shared" si="65"/>
      </c>
      <c r="L887" s="32">
        <f>IF($A887="","",C887*SUMIFS(Settings!$B$21:$B$25,Settings!$A$21:$A$25,SUMPRODUCT(MAX((Settings!$A$21:$A$25&lt;=$A887)*Settings!$A$21:$A$25)))+D887*SUMIFS(Settings!$C$21:$C$25,Settings!$A$21:$A$25,SUMPRODUCT(MAX((Settings!$A$21:$A$25&lt;=$A887)*Settings!$A$21:$A$25))))</f>
      </c>
      <c r="M887" s="32">
        <f>IF($A887="","",L887*IFERROR(INDEX(Settings!$B$30:$B$36,MATCH($B887,Settings!$A$30:$A$36,0)),0))</f>
      </c>
      <c r="N887" s="32">
        <f t="shared" si="66"/>
      </c>
      <c r="O887" s="33">
        <f t="shared" si="67"/>
      </c>
      <c r="P887" s="32">
        <f t="shared" si="68"/>
      </c>
      <c r="Q887" s="33">
        <f t="shared" si="69"/>
      </c>
    </row>
    <row r="888" spans="1:17" x14ac:dyDescent="0.25">
      <c r="A888" s="22"/>
      <c r="B888" s="5"/>
      <c r="C888" s="5"/>
      <c r="D888" s="5"/>
      <c r="E888" s="5"/>
      <c r="F888" s="5"/>
      <c r="G888" s="5"/>
      <c r="H888" s="23"/>
      <c r="I888" s="23"/>
      <c r="J888" s="5"/>
      <c r="K888" s="31">
        <f t="shared" si="65"/>
      </c>
      <c r="L888" s="32">
        <f>IF($A888="","",C888*SUMIFS(Settings!$B$21:$B$25,Settings!$A$21:$A$25,SUMPRODUCT(MAX((Settings!$A$21:$A$25&lt;=$A888)*Settings!$A$21:$A$25)))+D888*SUMIFS(Settings!$C$21:$C$25,Settings!$A$21:$A$25,SUMPRODUCT(MAX((Settings!$A$21:$A$25&lt;=$A888)*Settings!$A$21:$A$25))))</f>
      </c>
      <c r="M888" s="32">
        <f>IF($A888="","",L888*IFERROR(INDEX(Settings!$B$30:$B$36,MATCH($B888,Settings!$A$30:$A$36,0)),0))</f>
      </c>
      <c r="N888" s="32">
        <f t="shared" si="66"/>
      </c>
      <c r="O888" s="33">
        <f t="shared" si="67"/>
      </c>
      <c r="P888" s="32">
        <f t="shared" si="68"/>
      </c>
      <c r="Q888" s="33">
        <f t="shared" si="69"/>
      </c>
    </row>
    <row r="889" spans="1:17" x14ac:dyDescent="0.25">
      <c r="A889" s="22"/>
      <c r="B889" s="5"/>
      <c r="C889" s="5"/>
      <c r="D889" s="5"/>
      <c r="E889" s="5"/>
      <c r="F889" s="5"/>
      <c r="G889" s="5"/>
      <c r="H889" s="23"/>
      <c r="I889" s="23"/>
      <c r="J889" s="5"/>
      <c r="K889" s="31">
        <f t="shared" si="65"/>
      </c>
      <c r="L889" s="32">
        <f>IF($A889="","",C889*SUMIFS(Settings!$B$21:$B$25,Settings!$A$21:$A$25,SUMPRODUCT(MAX((Settings!$A$21:$A$25&lt;=$A889)*Settings!$A$21:$A$25)))+D889*SUMIFS(Settings!$C$21:$C$25,Settings!$A$21:$A$25,SUMPRODUCT(MAX((Settings!$A$21:$A$25&lt;=$A889)*Settings!$A$21:$A$25))))</f>
      </c>
      <c r="M889" s="32">
        <f>IF($A889="","",L889*IFERROR(INDEX(Settings!$B$30:$B$36,MATCH($B889,Settings!$A$30:$A$36,0)),0))</f>
      </c>
      <c r="N889" s="32">
        <f t="shared" si="66"/>
      </c>
      <c r="O889" s="33">
        <f t="shared" si="67"/>
      </c>
      <c r="P889" s="32">
        <f t="shared" si="68"/>
      </c>
      <c r="Q889" s="33">
        <f t="shared" si="69"/>
      </c>
    </row>
    <row r="890" spans="1:17" x14ac:dyDescent="0.25">
      <c r="A890" s="22"/>
      <c r="B890" s="5"/>
      <c r="C890" s="5"/>
      <c r="D890" s="5"/>
      <c r="E890" s="5"/>
      <c r="F890" s="5"/>
      <c r="G890" s="5"/>
      <c r="H890" s="23"/>
      <c r="I890" s="23"/>
      <c r="J890" s="5"/>
      <c r="K890" s="31">
        <f t="shared" si="65"/>
      </c>
      <c r="L890" s="32">
        <f>IF($A890="","",C890*SUMIFS(Settings!$B$21:$B$25,Settings!$A$21:$A$25,SUMPRODUCT(MAX((Settings!$A$21:$A$25&lt;=$A890)*Settings!$A$21:$A$25)))+D890*SUMIFS(Settings!$C$21:$C$25,Settings!$A$21:$A$25,SUMPRODUCT(MAX((Settings!$A$21:$A$25&lt;=$A890)*Settings!$A$21:$A$25))))</f>
      </c>
      <c r="M890" s="32">
        <f>IF($A890="","",L890*IFERROR(INDEX(Settings!$B$30:$B$36,MATCH($B890,Settings!$A$30:$A$36,0)),0))</f>
      </c>
      <c r="N890" s="32">
        <f t="shared" si="66"/>
      </c>
      <c r="O890" s="33">
        <f t="shared" si="67"/>
      </c>
      <c r="P890" s="32">
        <f t="shared" si="68"/>
      </c>
      <c r="Q890" s="33">
        <f t="shared" si="69"/>
      </c>
    </row>
    <row r="891" spans="1:17" x14ac:dyDescent="0.25">
      <c r="A891" s="22"/>
      <c r="B891" s="5"/>
      <c r="C891" s="5"/>
      <c r="D891" s="5"/>
      <c r="E891" s="5"/>
      <c r="F891" s="5"/>
      <c r="G891" s="5"/>
      <c r="H891" s="23"/>
      <c r="I891" s="23"/>
      <c r="J891" s="5"/>
      <c r="K891" s="31">
        <f t="shared" si="65"/>
      </c>
      <c r="L891" s="32">
        <f>IF($A891="","",C891*SUMIFS(Settings!$B$21:$B$25,Settings!$A$21:$A$25,SUMPRODUCT(MAX((Settings!$A$21:$A$25&lt;=$A891)*Settings!$A$21:$A$25)))+D891*SUMIFS(Settings!$C$21:$C$25,Settings!$A$21:$A$25,SUMPRODUCT(MAX((Settings!$A$21:$A$25&lt;=$A891)*Settings!$A$21:$A$25))))</f>
      </c>
      <c r="M891" s="32">
        <f>IF($A891="","",L891*IFERROR(INDEX(Settings!$B$30:$B$36,MATCH($B891,Settings!$A$30:$A$36,0)),0))</f>
      </c>
      <c r="N891" s="32">
        <f t="shared" si="66"/>
      </c>
      <c r="O891" s="33">
        <f t="shared" si="67"/>
      </c>
      <c r="P891" s="32">
        <f t="shared" si="68"/>
      </c>
      <c r="Q891" s="33">
        <f t="shared" si="69"/>
      </c>
    </row>
    <row r="892" spans="1:17" x14ac:dyDescent="0.25">
      <c r="A892" s="22"/>
      <c r="B892" s="5"/>
      <c r="C892" s="5"/>
      <c r="D892" s="5"/>
      <c r="E892" s="5"/>
      <c r="F892" s="5"/>
      <c r="G892" s="5"/>
      <c r="H892" s="23"/>
      <c r="I892" s="23"/>
      <c r="J892" s="5"/>
      <c r="K892" s="31">
        <f t="shared" si="65"/>
      </c>
      <c r="L892" s="32">
        <f>IF($A892="","",C892*SUMIFS(Settings!$B$21:$B$25,Settings!$A$21:$A$25,SUMPRODUCT(MAX((Settings!$A$21:$A$25&lt;=$A892)*Settings!$A$21:$A$25)))+D892*SUMIFS(Settings!$C$21:$C$25,Settings!$A$21:$A$25,SUMPRODUCT(MAX((Settings!$A$21:$A$25&lt;=$A892)*Settings!$A$21:$A$25))))</f>
      </c>
      <c r="M892" s="32">
        <f>IF($A892="","",L892*IFERROR(INDEX(Settings!$B$30:$B$36,MATCH($B892,Settings!$A$30:$A$36,0)),0))</f>
      </c>
      <c r="N892" s="32">
        <f t="shared" si="66"/>
      </c>
      <c r="O892" s="33">
        <f t="shared" si="67"/>
      </c>
      <c r="P892" s="32">
        <f t="shared" si="68"/>
      </c>
      <c r="Q892" s="33">
        <f t="shared" si="69"/>
      </c>
    </row>
    <row r="893" spans="1:17" x14ac:dyDescent="0.25">
      <c r="A893" s="22"/>
      <c r="B893" s="5"/>
      <c r="C893" s="5"/>
      <c r="D893" s="5"/>
      <c r="E893" s="5"/>
      <c r="F893" s="5"/>
      <c r="G893" s="5"/>
      <c r="H893" s="23"/>
      <c r="I893" s="23"/>
      <c r="J893" s="5"/>
      <c r="K893" s="31">
        <f t="shared" si="65"/>
      </c>
      <c r="L893" s="32">
        <f>IF($A893="","",C893*SUMIFS(Settings!$B$21:$B$25,Settings!$A$21:$A$25,SUMPRODUCT(MAX((Settings!$A$21:$A$25&lt;=$A893)*Settings!$A$21:$A$25)))+D893*SUMIFS(Settings!$C$21:$C$25,Settings!$A$21:$A$25,SUMPRODUCT(MAX((Settings!$A$21:$A$25&lt;=$A893)*Settings!$A$21:$A$25))))</f>
      </c>
      <c r="M893" s="32">
        <f>IF($A893="","",L893*IFERROR(INDEX(Settings!$B$30:$B$36,MATCH($B893,Settings!$A$30:$A$36,0)),0))</f>
      </c>
      <c r="N893" s="32">
        <f t="shared" si="66"/>
      </c>
      <c r="O893" s="33">
        <f t="shared" si="67"/>
      </c>
      <c r="P893" s="32">
        <f t="shared" si="68"/>
      </c>
      <c r="Q893" s="33">
        <f t="shared" si="69"/>
      </c>
    </row>
    <row r="894" spans="1:17" x14ac:dyDescent="0.25">
      <c r="A894" s="22"/>
      <c r="B894" s="5"/>
      <c r="C894" s="5"/>
      <c r="D894" s="5"/>
      <c r="E894" s="5"/>
      <c r="F894" s="5"/>
      <c r="G894" s="5"/>
      <c r="H894" s="23"/>
      <c r="I894" s="23"/>
      <c r="J894" s="5"/>
      <c r="K894" s="31">
        <f t="shared" si="65"/>
      </c>
      <c r="L894" s="32">
        <f>IF($A894="","",C894*SUMIFS(Settings!$B$21:$B$25,Settings!$A$21:$A$25,SUMPRODUCT(MAX((Settings!$A$21:$A$25&lt;=$A894)*Settings!$A$21:$A$25)))+D894*SUMIFS(Settings!$C$21:$C$25,Settings!$A$21:$A$25,SUMPRODUCT(MAX((Settings!$A$21:$A$25&lt;=$A894)*Settings!$A$21:$A$25))))</f>
      </c>
      <c r="M894" s="32">
        <f>IF($A894="","",L894*IFERROR(INDEX(Settings!$B$30:$B$36,MATCH($B894,Settings!$A$30:$A$36,0)),0))</f>
      </c>
      <c r="N894" s="32">
        <f t="shared" si="66"/>
      </c>
      <c r="O894" s="33">
        <f t="shared" si="67"/>
      </c>
      <c r="P894" s="32">
        <f t="shared" si="68"/>
      </c>
      <c r="Q894" s="33">
        <f t="shared" si="69"/>
      </c>
    </row>
    <row r="895" spans="1:17" x14ac:dyDescent="0.25">
      <c r="A895" s="22"/>
      <c r="B895" s="5"/>
      <c r="C895" s="5"/>
      <c r="D895" s="5"/>
      <c r="E895" s="5"/>
      <c r="F895" s="5"/>
      <c r="G895" s="5"/>
      <c r="H895" s="23"/>
      <c r="I895" s="23"/>
      <c r="J895" s="5"/>
      <c r="K895" s="31">
        <f t="shared" si="65"/>
      </c>
      <c r="L895" s="32">
        <f>IF($A895="","",C895*SUMIFS(Settings!$B$21:$B$25,Settings!$A$21:$A$25,SUMPRODUCT(MAX((Settings!$A$21:$A$25&lt;=$A895)*Settings!$A$21:$A$25)))+D895*SUMIFS(Settings!$C$21:$C$25,Settings!$A$21:$A$25,SUMPRODUCT(MAX((Settings!$A$21:$A$25&lt;=$A895)*Settings!$A$21:$A$25))))</f>
      </c>
      <c r="M895" s="32">
        <f>IF($A895="","",L895*IFERROR(INDEX(Settings!$B$30:$B$36,MATCH($B895,Settings!$A$30:$A$36,0)),0))</f>
      </c>
      <c r="N895" s="32">
        <f t="shared" si="66"/>
      </c>
      <c r="O895" s="33">
        <f t="shared" si="67"/>
      </c>
      <c r="P895" s="32">
        <f t="shared" si="68"/>
      </c>
      <c r="Q895" s="33">
        <f t="shared" si="69"/>
      </c>
    </row>
    <row r="896" spans="1:17" x14ac:dyDescent="0.25">
      <c r="A896" s="22"/>
      <c r="B896" s="5"/>
      <c r="C896" s="5"/>
      <c r="D896" s="5"/>
      <c r="E896" s="5"/>
      <c r="F896" s="5"/>
      <c r="G896" s="5"/>
      <c r="H896" s="23"/>
      <c r="I896" s="23"/>
      <c r="J896" s="5"/>
      <c r="K896" s="31">
        <f t="shared" si="65"/>
      </c>
      <c r="L896" s="32">
        <f>IF($A896="","",C896*SUMIFS(Settings!$B$21:$B$25,Settings!$A$21:$A$25,SUMPRODUCT(MAX((Settings!$A$21:$A$25&lt;=$A896)*Settings!$A$21:$A$25)))+D896*SUMIFS(Settings!$C$21:$C$25,Settings!$A$21:$A$25,SUMPRODUCT(MAX((Settings!$A$21:$A$25&lt;=$A896)*Settings!$A$21:$A$25))))</f>
      </c>
      <c r="M896" s="32">
        <f>IF($A896="","",L896*IFERROR(INDEX(Settings!$B$30:$B$36,MATCH($B896,Settings!$A$30:$A$36,0)),0))</f>
      </c>
      <c r="N896" s="32">
        <f t="shared" si="66"/>
      </c>
      <c r="O896" s="33">
        <f t="shared" si="67"/>
      </c>
      <c r="P896" s="32">
        <f t="shared" si="68"/>
      </c>
      <c r="Q896" s="33">
        <f t="shared" si="69"/>
      </c>
    </row>
    <row r="897" spans="1:17" x14ac:dyDescent="0.25">
      <c r="A897" s="22"/>
      <c r="B897" s="5"/>
      <c r="C897" s="5"/>
      <c r="D897" s="5"/>
      <c r="E897" s="5"/>
      <c r="F897" s="5"/>
      <c r="G897" s="5"/>
      <c r="H897" s="23"/>
      <c r="I897" s="23"/>
      <c r="J897" s="5"/>
      <c r="K897" s="31">
        <f t="shared" si="65"/>
      </c>
      <c r="L897" s="32">
        <f>IF($A897="","",C897*SUMIFS(Settings!$B$21:$B$25,Settings!$A$21:$A$25,SUMPRODUCT(MAX((Settings!$A$21:$A$25&lt;=$A897)*Settings!$A$21:$A$25)))+D897*SUMIFS(Settings!$C$21:$C$25,Settings!$A$21:$A$25,SUMPRODUCT(MAX((Settings!$A$21:$A$25&lt;=$A897)*Settings!$A$21:$A$25))))</f>
      </c>
      <c r="M897" s="32">
        <f>IF($A897="","",L897*IFERROR(INDEX(Settings!$B$30:$B$36,MATCH($B897,Settings!$A$30:$A$36,0)),0))</f>
      </c>
      <c r="N897" s="32">
        <f t="shared" si="66"/>
      </c>
      <c r="O897" s="33">
        <f t="shared" si="67"/>
      </c>
      <c r="P897" s="32">
        <f t="shared" si="68"/>
      </c>
      <c r="Q897" s="33">
        <f t="shared" si="69"/>
      </c>
    </row>
    <row r="898" spans="1:17" x14ac:dyDescent="0.25">
      <c r="A898" s="22"/>
      <c r="B898" s="5"/>
      <c r="C898" s="5"/>
      <c r="D898" s="5"/>
      <c r="E898" s="5"/>
      <c r="F898" s="5"/>
      <c r="G898" s="5"/>
      <c r="H898" s="23"/>
      <c r="I898" s="23"/>
      <c r="J898" s="5"/>
      <c r="K898" s="31">
        <f t="shared" si="65"/>
      </c>
      <c r="L898" s="32">
        <f>IF($A898="","",C898*SUMIFS(Settings!$B$21:$B$25,Settings!$A$21:$A$25,SUMPRODUCT(MAX((Settings!$A$21:$A$25&lt;=$A898)*Settings!$A$21:$A$25)))+D898*SUMIFS(Settings!$C$21:$C$25,Settings!$A$21:$A$25,SUMPRODUCT(MAX((Settings!$A$21:$A$25&lt;=$A898)*Settings!$A$21:$A$25))))</f>
      </c>
      <c r="M898" s="32">
        <f>IF($A898="","",L898*IFERROR(INDEX(Settings!$B$30:$B$36,MATCH($B898,Settings!$A$30:$A$36,0)),0))</f>
      </c>
      <c r="N898" s="32">
        <f t="shared" si="66"/>
      </c>
      <c r="O898" s="33">
        <f t="shared" si="67"/>
      </c>
      <c r="P898" s="32">
        <f t="shared" si="68"/>
      </c>
      <c r="Q898" s="33">
        <f t="shared" si="69"/>
      </c>
    </row>
    <row r="899" spans="1:17" x14ac:dyDescent="0.25">
      <c r="A899" s="22"/>
      <c r="B899" s="5"/>
      <c r="C899" s="5"/>
      <c r="D899" s="5"/>
      <c r="E899" s="5"/>
      <c r="F899" s="5"/>
      <c r="G899" s="5"/>
      <c r="H899" s="23"/>
      <c r="I899" s="23"/>
      <c r="J899" s="5"/>
      <c r="K899" s="31">
        <f t="shared" si="65"/>
      </c>
      <c r="L899" s="32">
        <f>IF($A899="","",C899*SUMIFS(Settings!$B$21:$B$25,Settings!$A$21:$A$25,SUMPRODUCT(MAX((Settings!$A$21:$A$25&lt;=$A899)*Settings!$A$21:$A$25)))+D899*SUMIFS(Settings!$C$21:$C$25,Settings!$A$21:$A$25,SUMPRODUCT(MAX((Settings!$A$21:$A$25&lt;=$A899)*Settings!$A$21:$A$25))))</f>
      </c>
      <c r="M899" s="32">
        <f>IF($A899="","",L899*IFERROR(INDEX(Settings!$B$30:$B$36,MATCH($B899,Settings!$A$30:$A$36,0)),0))</f>
      </c>
      <c r="N899" s="32">
        <f t="shared" si="66"/>
      </c>
      <c r="O899" s="33">
        <f t="shared" si="67"/>
      </c>
      <c r="P899" s="32">
        <f t="shared" si="68"/>
      </c>
      <c r="Q899" s="33">
        <f t="shared" si="69"/>
      </c>
    </row>
    <row r="900" spans="1:17" x14ac:dyDescent="0.25">
      <c r="A900" s="22"/>
      <c r="B900" s="5"/>
      <c r="C900" s="5"/>
      <c r="D900" s="5"/>
      <c r="E900" s="5"/>
      <c r="F900" s="5"/>
      <c r="G900" s="5"/>
      <c r="H900" s="23"/>
      <c r="I900" s="23"/>
      <c r="J900" s="5"/>
      <c r="K900" s="31">
        <f t="shared" si="65"/>
      </c>
      <c r="L900" s="32">
        <f>IF($A900="","",C900*SUMIFS(Settings!$B$21:$B$25,Settings!$A$21:$A$25,SUMPRODUCT(MAX((Settings!$A$21:$A$25&lt;=$A900)*Settings!$A$21:$A$25)))+D900*SUMIFS(Settings!$C$21:$C$25,Settings!$A$21:$A$25,SUMPRODUCT(MAX((Settings!$A$21:$A$25&lt;=$A900)*Settings!$A$21:$A$25))))</f>
      </c>
      <c r="M900" s="32">
        <f>IF($A900="","",L900*IFERROR(INDEX(Settings!$B$30:$B$36,MATCH($B900,Settings!$A$30:$A$36,0)),0))</f>
      </c>
      <c r="N900" s="32">
        <f t="shared" si="66"/>
      </c>
      <c r="O900" s="33">
        <f t="shared" si="67"/>
      </c>
      <c r="P900" s="32">
        <f t="shared" si="68"/>
      </c>
      <c r="Q900" s="33">
        <f t="shared" si="69"/>
      </c>
    </row>
    <row r="901" spans="1:17" x14ac:dyDescent="0.25">
      <c r="A901" s="22"/>
      <c r="B901" s="5"/>
      <c r="C901" s="5"/>
      <c r="D901" s="5"/>
      <c r="E901" s="5"/>
      <c r="F901" s="5"/>
      <c r="G901" s="5"/>
      <c r="H901" s="23"/>
      <c r="I901" s="23"/>
      <c r="J901" s="5"/>
      <c r="K901" s="31">
        <f t="shared" si="65"/>
      </c>
      <c r="L901" s="32">
        <f>IF($A901="","",C901*SUMIFS(Settings!$B$21:$B$25,Settings!$A$21:$A$25,SUMPRODUCT(MAX((Settings!$A$21:$A$25&lt;=$A901)*Settings!$A$21:$A$25)))+D901*SUMIFS(Settings!$C$21:$C$25,Settings!$A$21:$A$25,SUMPRODUCT(MAX((Settings!$A$21:$A$25&lt;=$A901)*Settings!$A$21:$A$25))))</f>
      </c>
      <c r="M901" s="32">
        <f>IF($A901="","",L901*IFERROR(INDEX(Settings!$B$30:$B$36,MATCH($B901,Settings!$A$30:$A$36,0)),0))</f>
      </c>
      <c r="N901" s="32">
        <f t="shared" si="66"/>
      </c>
      <c r="O901" s="33">
        <f t="shared" si="67"/>
      </c>
      <c r="P901" s="32">
        <f t="shared" si="68"/>
      </c>
      <c r="Q901" s="33">
        <f t="shared" si="69"/>
      </c>
    </row>
    <row r="902" spans="1:17" x14ac:dyDescent="0.25">
      <c r="A902" s="22"/>
      <c r="B902" s="5"/>
      <c r="C902" s="5"/>
      <c r="D902" s="5"/>
      <c r="E902" s="5"/>
      <c r="F902" s="5"/>
      <c r="G902" s="5"/>
      <c r="H902" s="23"/>
      <c r="I902" s="23"/>
      <c r="J902" s="5"/>
      <c r="K902" s="31">
        <f t="shared" ref="K902:K965" si="70">IF($A902="","",C902+D902)</f>
      </c>
      <c r="L902" s="32">
        <f>IF($A902="","",C902*SUMIFS(Settings!$B$21:$B$25,Settings!$A$21:$A$25,SUMPRODUCT(MAX((Settings!$A$21:$A$25&lt;=$A902)*Settings!$A$21:$A$25)))+D902*SUMIFS(Settings!$C$21:$C$25,Settings!$A$21:$A$25,SUMPRODUCT(MAX((Settings!$A$21:$A$25&lt;=$A902)*Settings!$A$21:$A$25))))</f>
      </c>
      <c r="M902" s="32">
        <f>IF($A902="","",L902*IFERROR(INDEX(Settings!$B$30:$B$36,MATCH($B902,Settings!$A$30:$A$36,0)),0))</f>
      </c>
      <c r="N902" s="32">
        <f t="shared" ref="N902:N965" si="71">IF(OR($A902="",F902="",G902=""),"",(F902-G902)-(K902+E902))</f>
      </c>
      <c r="O902" s="33">
        <f t="shared" ref="O902:O965" si="72">IF(N902="","",IF(N902=0,"OK","CHECK"))</f>
      </c>
      <c r="P902" s="32">
        <f t="shared" ref="P902:P965" si="73">IF(OR($A902="",AND(H902="",I902="")),"",H902+I902-L902)</f>
      </c>
      <c r="Q902" s="33">
        <f t="shared" ref="Q902:Q965" si="74">IF(P902="","",IF(P902=0,"OK","CHECK"))</f>
      </c>
    </row>
    <row r="903" spans="1:17" x14ac:dyDescent="0.25">
      <c r="A903" s="22"/>
      <c r="B903" s="5"/>
      <c r="C903" s="5"/>
      <c r="D903" s="5"/>
      <c r="E903" s="5"/>
      <c r="F903" s="5"/>
      <c r="G903" s="5"/>
      <c r="H903" s="23"/>
      <c r="I903" s="23"/>
      <c r="J903" s="5"/>
      <c r="K903" s="31">
        <f t="shared" si="70"/>
      </c>
      <c r="L903" s="32">
        <f>IF($A903="","",C903*SUMIFS(Settings!$B$21:$B$25,Settings!$A$21:$A$25,SUMPRODUCT(MAX((Settings!$A$21:$A$25&lt;=$A903)*Settings!$A$21:$A$25)))+D903*SUMIFS(Settings!$C$21:$C$25,Settings!$A$21:$A$25,SUMPRODUCT(MAX((Settings!$A$21:$A$25&lt;=$A903)*Settings!$A$21:$A$25))))</f>
      </c>
      <c r="M903" s="32">
        <f>IF($A903="","",L903*IFERROR(INDEX(Settings!$B$30:$B$36,MATCH($B903,Settings!$A$30:$A$36,0)),0))</f>
      </c>
      <c r="N903" s="32">
        <f t="shared" si="71"/>
      </c>
      <c r="O903" s="33">
        <f t="shared" si="72"/>
      </c>
      <c r="P903" s="32">
        <f t="shared" si="73"/>
      </c>
      <c r="Q903" s="33">
        <f t="shared" si="74"/>
      </c>
    </row>
    <row r="904" spans="1:17" x14ac:dyDescent="0.25">
      <c r="A904" s="22"/>
      <c r="B904" s="5"/>
      <c r="C904" s="5"/>
      <c r="D904" s="5"/>
      <c r="E904" s="5"/>
      <c r="F904" s="5"/>
      <c r="G904" s="5"/>
      <c r="H904" s="23"/>
      <c r="I904" s="23"/>
      <c r="J904" s="5"/>
      <c r="K904" s="31">
        <f t="shared" si="70"/>
      </c>
      <c r="L904" s="32">
        <f>IF($A904="","",C904*SUMIFS(Settings!$B$21:$B$25,Settings!$A$21:$A$25,SUMPRODUCT(MAX((Settings!$A$21:$A$25&lt;=$A904)*Settings!$A$21:$A$25)))+D904*SUMIFS(Settings!$C$21:$C$25,Settings!$A$21:$A$25,SUMPRODUCT(MAX((Settings!$A$21:$A$25&lt;=$A904)*Settings!$A$21:$A$25))))</f>
      </c>
      <c r="M904" s="32">
        <f>IF($A904="","",L904*IFERROR(INDEX(Settings!$B$30:$B$36,MATCH($B904,Settings!$A$30:$A$36,0)),0))</f>
      </c>
      <c r="N904" s="32">
        <f t="shared" si="71"/>
      </c>
      <c r="O904" s="33">
        <f t="shared" si="72"/>
      </c>
      <c r="P904" s="32">
        <f t="shared" si="73"/>
      </c>
      <c r="Q904" s="33">
        <f t="shared" si="74"/>
      </c>
    </row>
    <row r="905" spans="1:17" x14ac:dyDescent="0.25">
      <c r="A905" s="22"/>
      <c r="B905" s="5"/>
      <c r="C905" s="5"/>
      <c r="D905" s="5"/>
      <c r="E905" s="5"/>
      <c r="F905" s="5"/>
      <c r="G905" s="5"/>
      <c r="H905" s="23"/>
      <c r="I905" s="23"/>
      <c r="J905" s="5"/>
      <c r="K905" s="31">
        <f t="shared" si="70"/>
      </c>
      <c r="L905" s="32">
        <f>IF($A905="","",C905*SUMIFS(Settings!$B$21:$B$25,Settings!$A$21:$A$25,SUMPRODUCT(MAX((Settings!$A$21:$A$25&lt;=$A905)*Settings!$A$21:$A$25)))+D905*SUMIFS(Settings!$C$21:$C$25,Settings!$A$21:$A$25,SUMPRODUCT(MAX((Settings!$A$21:$A$25&lt;=$A905)*Settings!$A$21:$A$25))))</f>
      </c>
      <c r="M905" s="32">
        <f>IF($A905="","",L905*IFERROR(INDEX(Settings!$B$30:$B$36,MATCH($B905,Settings!$A$30:$A$36,0)),0))</f>
      </c>
      <c r="N905" s="32">
        <f t="shared" si="71"/>
      </c>
      <c r="O905" s="33">
        <f t="shared" si="72"/>
      </c>
      <c r="P905" s="32">
        <f t="shared" si="73"/>
      </c>
      <c r="Q905" s="33">
        <f t="shared" si="74"/>
      </c>
    </row>
    <row r="906" spans="1:17" x14ac:dyDescent="0.25">
      <c r="A906" s="22"/>
      <c r="B906" s="5"/>
      <c r="C906" s="5"/>
      <c r="D906" s="5"/>
      <c r="E906" s="5"/>
      <c r="F906" s="5"/>
      <c r="G906" s="5"/>
      <c r="H906" s="23"/>
      <c r="I906" s="23"/>
      <c r="J906" s="5"/>
      <c r="K906" s="31">
        <f t="shared" si="70"/>
      </c>
      <c r="L906" s="32">
        <f>IF($A906="","",C906*SUMIFS(Settings!$B$21:$B$25,Settings!$A$21:$A$25,SUMPRODUCT(MAX((Settings!$A$21:$A$25&lt;=$A906)*Settings!$A$21:$A$25)))+D906*SUMIFS(Settings!$C$21:$C$25,Settings!$A$21:$A$25,SUMPRODUCT(MAX((Settings!$A$21:$A$25&lt;=$A906)*Settings!$A$21:$A$25))))</f>
      </c>
      <c r="M906" s="32">
        <f>IF($A906="","",L906*IFERROR(INDEX(Settings!$B$30:$B$36,MATCH($B906,Settings!$A$30:$A$36,0)),0))</f>
      </c>
      <c r="N906" s="32">
        <f t="shared" si="71"/>
      </c>
      <c r="O906" s="33">
        <f t="shared" si="72"/>
      </c>
      <c r="P906" s="32">
        <f t="shared" si="73"/>
      </c>
      <c r="Q906" s="33">
        <f t="shared" si="74"/>
      </c>
    </row>
    <row r="907" spans="1:17" x14ac:dyDescent="0.25">
      <c r="A907" s="22"/>
      <c r="B907" s="5"/>
      <c r="C907" s="5"/>
      <c r="D907" s="5"/>
      <c r="E907" s="5"/>
      <c r="F907" s="5"/>
      <c r="G907" s="5"/>
      <c r="H907" s="23"/>
      <c r="I907" s="23"/>
      <c r="J907" s="5"/>
      <c r="K907" s="31">
        <f t="shared" si="70"/>
      </c>
      <c r="L907" s="32">
        <f>IF($A907="","",C907*SUMIFS(Settings!$B$21:$B$25,Settings!$A$21:$A$25,SUMPRODUCT(MAX((Settings!$A$21:$A$25&lt;=$A907)*Settings!$A$21:$A$25)))+D907*SUMIFS(Settings!$C$21:$C$25,Settings!$A$21:$A$25,SUMPRODUCT(MAX((Settings!$A$21:$A$25&lt;=$A907)*Settings!$A$21:$A$25))))</f>
      </c>
      <c r="M907" s="32">
        <f>IF($A907="","",L907*IFERROR(INDEX(Settings!$B$30:$B$36,MATCH($B907,Settings!$A$30:$A$36,0)),0))</f>
      </c>
      <c r="N907" s="32">
        <f t="shared" si="71"/>
      </c>
      <c r="O907" s="33">
        <f t="shared" si="72"/>
      </c>
      <c r="P907" s="32">
        <f t="shared" si="73"/>
      </c>
      <c r="Q907" s="33">
        <f t="shared" si="74"/>
      </c>
    </row>
    <row r="908" spans="1:17" x14ac:dyDescent="0.25">
      <c r="A908" s="22"/>
      <c r="B908" s="5"/>
      <c r="C908" s="5"/>
      <c r="D908" s="5"/>
      <c r="E908" s="5"/>
      <c r="F908" s="5"/>
      <c r="G908" s="5"/>
      <c r="H908" s="23"/>
      <c r="I908" s="23"/>
      <c r="J908" s="5"/>
      <c r="K908" s="31">
        <f t="shared" si="70"/>
      </c>
      <c r="L908" s="32">
        <f>IF($A908="","",C908*SUMIFS(Settings!$B$21:$B$25,Settings!$A$21:$A$25,SUMPRODUCT(MAX((Settings!$A$21:$A$25&lt;=$A908)*Settings!$A$21:$A$25)))+D908*SUMIFS(Settings!$C$21:$C$25,Settings!$A$21:$A$25,SUMPRODUCT(MAX((Settings!$A$21:$A$25&lt;=$A908)*Settings!$A$21:$A$25))))</f>
      </c>
      <c r="M908" s="32">
        <f>IF($A908="","",L908*IFERROR(INDEX(Settings!$B$30:$B$36,MATCH($B908,Settings!$A$30:$A$36,0)),0))</f>
      </c>
      <c r="N908" s="32">
        <f t="shared" si="71"/>
      </c>
      <c r="O908" s="33">
        <f t="shared" si="72"/>
      </c>
      <c r="P908" s="32">
        <f t="shared" si="73"/>
      </c>
      <c r="Q908" s="33">
        <f t="shared" si="74"/>
      </c>
    </row>
    <row r="909" spans="1:17" x14ac:dyDescent="0.25">
      <c r="A909" s="22"/>
      <c r="B909" s="5"/>
      <c r="C909" s="5"/>
      <c r="D909" s="5"/>
      <c r="E909" s="5"/>
      <c r="F909" s="5"/>
      <c r="G909" s="5"/>
      <c r="H909" s="23"/>
      <c r="I909" s="23"/>
      <c r="J909" s="5"/>
      <c r="K909" s="31">
        <f t="shared" si="70"/>
      </c>
      <c r="L909" s="32">
        <f>IF($A909="","",C909*SUMIFS(Settings!$B$21:$B$25,Settings!$A$21:$A$25,SUMPRODUCT(MAX((Settings!$A$21:$A$25&lt;=$A909)*Settings!$A$21:$A$25)))+D909*SUMIFS(Settings!$C$21:$C$25,Settings!$A$21:$A$25,SUMPRODUCT(MAX((Settings!$A$21:$A$25&lt;=$A909)*Settings!$A$21:$A$25))))</f>
      </c>
      <c r="M909" s="32">
        <f>IF($A909="","",L909*IFERROR(INDEX(Settings!$B$30:$B$36,MATCH($B909,Settings!$A$30:$A$36,0)),0))</f>
      </c>
      <c r="N909" s="32">
        <f t="shared" si="71"/>
      </c>
      <c r="O909" s="33">
        <f t="shared" si="72"/>
      </c>
      <c r="P909" s="32">
        <f t="shared" si="73"/>
      </c>
      <c r="Q909" s="33">
        <f t="shared" si="74"/>
      </c>
    </row>
    <row r="910" spans="1:17" x14ac:dyDescent="0.25">
      <c r="A910" s="22"/>
      <c r="B910" s="5"/>
      <c r="C910" s="5"/>
      <c r="D910" s="5"/>
      <c r="E910" s="5"/>
      <c r="F910" s="5"/>
      <c r="G910" s="5"/>
      <c r="H910" s="23"/>
      <c r="I910" s="23"/>
      <c r="J910" s="5"/>
      <c r="K910" s="31">
        <f t="shared" si="70"/>
      </c>
      <c r="L910" s="32">
        <f>IF($A910="","",C910*SUMIFS(Settings!$B$21:$B$25,Settings!$A$21:$A$25,SUMPRODUCT(MAX((Settings!$A$21:$A$25&lt;=$A910)*Settings!$A$21:$A$25)))+D910*SUMIFS(Settings!$C$21:$C$25,Settings!$A$21:$A$25,SUMPRODUCT(MAX((Settings!$A$21:$A$25&lt;=$A910)*Settings!$A$21:$A$25))))</f>
      </c>
      <c r="M910" s="32">
        <f>IF($A910="","",L910*IFERROR(INDEX(Settings!$B$30:$B$36,MATCH($B910,Settings!$A$30:$A$36,0)),0))</f>
      </c>
      <c r="N910" s="32">
        <f t="shared" si="71"/>
      </c>
      <c r="O910" s="33">
        <f t="shared" si="72"/>
      </c>
      <c r="P910" s="32">
        <f t="shared" si="73"/>
      </c>
      <c r="Q910" s="33">
        <f t="shared" si="74"/>
      </c>
    </row>
    <row r="911" spans="1:17" x14ac:dyDescent="0.25">
      <c r="A911" s="22"/>
      <c r="B911" s="5"/>
      <c r="C911" s="5"/>
      <c r="D911" s="5"/>
      <c r="E911" s="5"/>
      <c r="F911" s="5"/>
      <c r="G911" s="5"/>
      <c r="H911" s="23"/>
      <c r="I911" s="23"/>
      <c r="J911" s="5"/>
      <c r="K911" s="31">
        <f t="shared" si="70"/>
      </c>
      <c r="L911" s="32">
        <f>IF($A911="","",C911*SUMIFS(Settings!$B$21:$B$25,Settings!$A$21:$A$25,SUMPRODUCT(MAX((Settings!$A$21:$A$25&lt;=$A911)*Settings!$A$21:$A$25)))+D911*SUMIFS(Settings!$C$21:$C$25,Settings!$A$21:$A$25,SUMPRODUCT(MAX((Settings!$A$21:$A$25&lt;=$A911)*Settings!$A$21:$A$25))))</f>
      </c>
      <c r="M911" s="32">
        <f>IF($A911="","",L911*IFERROR(INDEX(Settings!$B$30:$B$36,MATCH($B911,Settings!$A$30:$A$36,0)),0))</f>
      </c>
      <c r="N911" s="32">
        <f t="shared" si="71"/>
      </c>
      <c r="O911" s="33">
        <f t="shared" si="72"/>
      </c>
      <c r="P911" s="32">
        <f t="shared" si="73"/>
      </c>
      <c r="Q911" s="33">
        <f t="shared" si="74"/>
      </c>
    </row>
    <row r="912" spans="1:17" x14ac:dyDescent="0.25">
      <c r="A912" s="22"/>
      <c r="B912" s="5"/>
      <c r="C912" s="5"/>
      <c r="D912" s="5"/>
      <c r="E912" s="5"/>
      <c r="F912" s="5"/>
      <c r="G912" s="5"/>
      <c r="H912" s="23"/>
      <c r="I912" s="23"/>
      <c r="J912" s="5"/>
      <c r="K912" s="31">
        <f t="shared" si="70"/>
      </c>
      <c r="L912" s="32">
        <f>IF($A912="","",C912*SUMIFS(Settings!$B$21:$B$25,Settings!$A$21:$A$25,SUMPRODUCT(MAX((Settings!$A$21:$A$25&lt;=$A912)*Settings!$A$21:$A$25)))+D912*SUMIFS(Settings!$C$21:$C$25,Settings!$A$21:$A$25,SUMPRODUCT(MAX((Settings!$A$21:$A$25&lt;=$A912)*Settings!$A$21:$A$25))))</f>
      </c>
      <c r="M912" s="32">
        <f>IF($A912="","",L912*IFERROR(INDEX(Settings!$B$30:$B$36,MATCH($B912,Settings!$A$30:$A$36,0)),0))</f>
      </c>
      <c r="N912" s="32">
        <f t="shared" si="71"/>
      </c>
      <c r="O912" s="33">
        <f t="shared" si="72"/>
      </c>
      <c r="P912" s="32">
        <f t="shared" si="73"/>
      </c>
      <c r="Q912" s="33">
        <f t="shared" si="74"/>
      </c>
    </row>
    <row r="913" spans="1:17" x14ac:dyDescent="0.25">
      <c r="A913" s="22"/>
      <c r="B913" s="5"/>
      <c r="C913" s="5"/>
      <c r="D913" s="5"/>
      <c r="E913" s="5"/>
      <c r="F913" s="5"/>
      <c r="G913" s="5"/>
      <c r="H913" s="23"/>
      <c r="I913" s="23"/>
      <c r="J913" s="5"/>
      <c r="K913" s="31">
        <f t="shared" si="70"/>
      </c>
      <c r="L913" s="32">
        <f>IF($A913="","",C913*SUMIFS(Settings!$B$21:$B$25,Settings!$A$21:$A$25,SUMPRODUCT(MAX((Settings!$A$21:$A$25&lt;=$A913)*Settings!$A$21:$A$25)))+D913*SUMIFS(Settings!$C$21:$C$25,Settings!$A$21:$A$25,SUMPRODUCT(MAX((Settings!$A$21:$A$25&lt;=$A913)*Settings!$A$21:$A$25))))</f>
      </c>
      <c r="M913" s="32">
        <f>IF($A913="","",L913*IFERROR(INDEX(Settings!$B$30:$B$36,MATCH($B913,Settings!$A$30:$A$36,0)),0))</f>
      </c>
      <c r="N913" s="32">
        <f t="shared" si="71"/>
      </c>
      <c r="O913" s="33">
        <f t="shared" si="72"/>
      </c>
      <c r="P913" s="32">
        <f t="shared" si="73"/>
      </c>
      <c r="Q913" s="33">
        <f t="shared" si="74"/>
      </c>
    </row>
    <row r="914" spans="1:17" x14ac:dyDescent="0.25">
      <c r="A914" s="22"/>
      <c r="B914" s="5"/>
      <c r="C914" s="5"/>
      <c r="D914" s="5"/>
      <c r="E914" s="5"/>
      <c r="F914" s="5"/>
      <c r="G914" s="5"/>
      <c r="H914" s="23"/>
      <c r="I914" s="23"/>
      <c r="J914" s="5"/>
      <c r="K914" s="31">
        <f t="shared" si="70"/>
      </c>
      <c r="L914" s="32">
        <f>IF($A914="","",C914*SUMIFS(Settings!$B$21:$B$25,Settings!$A$21:$A$25,SUMPRODUCT(MAX((Settings!$A$21:$A$25&lt;=$A914)*Settings!$A$21:$A$25)))+D914*SUMIFS(Settings!$C$21:$C$25,Settings!$A$21:$A$25,SUMPRODUCT(MAX((Settings!$A$21:$A$25&lt;=$A914)*Settings!$A$21:$A$25))))</f>
      </c>
      <c r="M914" s="32">
        <f>IF($A914="","",L914*IFERROR(INDEX(Settings!$B$30:$B$36,MATCH($B914,Settings!$A$30:$A$36,0)),0))</f>
      </c>
      <c r="N914" s="32">
        <f t="shared" si="71"/>
      </c>
      <c r="O914" s="33">
        <f t="shared" si="72"/>
      </c>
      <c r="P914" s="32">
        <f t="shared" si="73"/>
      </c>
      <c r="Q914" s="33">
        <f t="shared" si="74"/>
      </c>
    </row>
    <row r="915" spans="1:17" x14ac:dyDescent="0.25">
      <c r="A915" s="22"/>
      <c r="B915" s="5"/>
      <c r="C915" s="5"/>
      <c r="D915" s="5"/>
      <c r="E915" s="5"/>
      <c r="F915" s="5"/>
      <c r="G915" s="5"/>
      <c r="H915" s="23"/>
      <c r="I915" s="23"/>
      <c r="J915" s="5"/>
      <c r="K915" s="31">
        <f t="shared" si="70"/>
      </c>
      <c r="L915" s="32">
        <f>IF($A915="","",C915*SUMIFS(Settings!$B$21:$B$25,Settings!$A$21:$A$25,SUMPRODUCT(MAX((Settings!$A$21:$A$25&lt;=$A915)*Settings!$A$21:$A$25)))+D915*SUMIFS(Settings!$C$21:$C$25,Settings!$A$21:$A$25,SUMPRODUCT(MAX((Settings!$A$21:$A$25&lt;=$A915)*Settings!$A$21:$A$25))))</f>
      </c>
      <c r="M915" s="32">
        <f>IF($A915="","",L915*IFERROR(INDEX(Settings!$B$30:$B$36,MATCH($B915,Settings!$A$30:$A$36,0)),0))</f>
      </c>
      <c r="N915" s="32">
        <f t="shared" si="71"/>
      </c>
      <c r="O915" s="33">
        <f t="shared" si="72"/>
      </c>
      <c r="P915" s="32">
        <f t="shared" si="73"/>
      </c>
      <c r="Q915" s="33">
        <f t="shared" si="74"/>
      </c>
    </row>
    <row r="916" spans="1:17" x14ac:dyDescent="0.25">
      <c r="A916" s="22"/>
      <c r="B916" s="5"/>
      <c r="C916" s="5"/>
      <c r="D916" s="5"/>
      <c r="E916" s="5"/>
      <c r="F916" s="5"/>
      <c r="G916" s="5"/>
      <c r="H916" s="23"/>
      <c r="I916" s="23"/>
      <c r="J916" s="5"/>
      <c r="K916" s="31">
        <f t="shared" si="70"/>
      </c>
      <c r="L916" s="32">
        <f>IF($A916="","",C916*SUMIFS(Settings!$B$21:$B$25,Settings!$A$21:$A$25,SUMPRODUCT(MAX((Settings!$A$21:$A$25&lt;=$A916)*Settings!$A$21:$A$25)))+D916*SUMIFS(Settings!$C$21:$C$25,Settings!$A$21:$A$25,SUMPRODUCT(MAX((Settings!$A$21:$A$25&lt;=$A916)*Settings!$A$21:$A$25))))</f>
      </c>
      <c r="M916" s="32">
        <f>IF($A916="","",L916*IFERROR(INDEX(Settings!$B$30:$B$36,MATCH($B916,Settings!$A$30:$A$36,0)),0))</f>
      </c>
      <c r="N916" s="32">
        <f t="shared" si="71"/>
      </c>
      <c r="O916" s="33">
        <f t="shared" si="72"/>
      </c>
      <c r="P916" s="32">
        <f t="shared" si="73"/>
      </c>
      <c r="Q916" s="33">
        <f t="shared" si="74"/>
      </c>
    </row>
    <row r="917" spans="1:17" x14ac:dyDescent="0.25">
      <c r="A917" s="22"/>
      <c r="B917" s="5"/>
      <c r="C917" s="5"/>
      <c r="D917" s="5"/>
      <c r="E917" s="5"/>
      <c r="F917" s="5"/>
      <c r="G917" s="5"/>
      <c r="H917" s="23"/>
      <c r="I917" s="23"/>
      <c r="J917" s="5"/>
      <c r="K917" s="31">
        <f t="shared" si="70"/>
      </c>
      <c r="L917" s="32">
        <f>IF($A917="","",C917*SUMIFS(Settings!$B$21:$B$25,Settings!$A$21:$A$25,SUMPRODUCT(MAX((Settings!$A$21:$A$25&lt;=$A917)*Settings!$A$21:$A$25)))+D917*SUMIFS(Settings!$C$21:$C$25,Settings!$A$21:$A$25,SUMPRODUCT(MAX((Settings!$A$21:$A$25&lt;=$A917)*Settings!$A$21:$A$25))))</f>
      </c>
      <c r="M917" s="32">
        <f>IF($A917="","",L917*IFERROR(INDEX(Settings!$B$30:$B$36,MATCH($B917,Settings!$A$30:$A$36,0)),0))</f>
      </c>
      <c r="N917" s="32">
        <f t="shared" si="71"/>
      </c>
      <c r="O917" s="33">
        <f t="shared" si="72"/>
      </c>
      <c r="P917" s="32">
        <f t="shared" si="73"/>
      </c>
      <c r="Q917" s="33">
        <f t="shared" si="74"/>
      </c>
    </row>
    <row r="918" spans="1:17" x14ac:dyDescent="0.25">
      <c r="A918" s="22"/>
      <c r="B918" s="5"/>
      <c r="C918" s="5"/>
      <c r="D918" s="5"/>
      <c r="E918" s="5"/>
      <c r="F918" s="5"/>
      <c r="G918" s="5"/>
      <c r="H918" s="23"/>
      <c r="I918" s="23"/>
      <c r="J918" s="5"/>
      <c r="K918" s="31">
        <f t="shared" si="70"/>
      </c>
      <c r="L918" s="32">
        <f>IF($A918="","",C918*SUMIFS(Settings!$B$21:$B$25,Settings!$A$21:$A$25,SUMPRODUCT(MAX((Settings!$A$21:$A$25&lt;=$A918)*Settings!$A$21:$A$25)))+D918*SUMIFS(Settings!$C$21:$C$25,Settings!$A$21:$A$25,SUMPRODUCT(MAX((Settings!$A$21:$A$25&lt;=$A918)*Settings!$A$21:$A$25))))</f>
      </c>
      <c r="M918" s="32">
        <f>IF($A918="","",L918*IFERROR(INDEX(Settings!$B$30:$B$36,MATCH($B918,Settings!$A$30:$A$36,0)),0))</f>
      </c>
      <c r="N918" s="32">
        <f t="shared" si="71"/>
      </c>
      <c r="O918" s="33">
        <f t="shared" si="72"/>
      </c>
      <c r="P918" s="32">
        <f t="shared" si="73"/>
      </c>
      <c r="Q918" s="33">
        <f t="shared" si="74"/>
      </c>
    </row>
    <row r="919" spans="1:17" x14ac:dyDescent="0.25">
      <c r="A919" s="22"/>
      <c r="B919" s="5"/>
      <c r="C919" s="5"/>
      <c r="D919" s="5"/>
      <c r="E919" s="5"/>
      <c r="F919" s="5"/>
      <c r="G919" s="5"/>
      <c r="H919" s="23"/>
      <c r="I919" s="23"/>
      <c r="J919" s="5"/>
      <c r="K919" s="31">
        <f t="shared" si="70"/>
      </c>
      <c r="L919" s="32">
        <f>IF($A919="","",C919*SUMIFS(Settings!$B$21:$B$25,Settings!$A$21:$A$25,SUMPRODUCT(MAX((Settings!$A$21:$A$25&lt;=$A919)*Settings!$A$21:$A$25)))+D919*SUMIFS(Settings!$C$21:$C$25,Settings!$A$21:$A$25,SUMPRODUCT(MAX((Settings!$A$21:$A$25&lt;=$A919)*Settings!$A$21:$A$25))))</f>
      </c>
      <c r="M919" s="32">
        <f>IF($A919="","",L919*IFERROR(INDEX(Settings!$B$30:$B$36,MATCH($B919,Settings!$A$30:$A$36,0)),0))</f>
      </c>
      <c r="N919" s="32">
        <f t="shared" si="71"/>
      </c>
      <c r="O919" s="33">
        <f t="shared" si="72"/>
      </c>
      <c r="P919" s="32">
        <f t="shared" si="73"/>
      </c>
      <c r="Q919" s="33">
        <f t="shared" si="74"/>
      </c>
    </row>
    <row r="920" spans="1:17" x14ac:dyDescent="0.25">
      <c r="A920" s="22"/>
      <c r="B920" s="5"/>
      <c r="C920" s="5"/>
      <c r="D920" s="5"/>
      <c r="E920" s="5"/>
      <c r="F920" s="5"/>
      <c r="G920" s="5"/>
      <c r="H920" s="23"/>
      <c r="I920" s="23"/>
      <c r="J920" s="5"/>
      <c r="K920" s="31">
        <f t="shared" si="70"/>
      </c>
      <c r="L920" s="32">
        <f>IF($A920="","",C920*SUMIFS(Settings!$B$21:$B$25,Settings!$A$21:$A$25,SUMPRODUCT(MAX((Settings!$A$21:$A$25&lt;=$A920)*Settings!$A$21:$A$25)))+D920*SUMIFS(Settings!$C$21:$C$25,Settings!$A$21:$A$25,SUMPRODUCT(MAX((Settings!$A$21:$A$25&lt;=$A920)*Settings!$A$21:$A$25))))</f>
      </c>
      <c r="M920" s="32">
        <f>IF($A920="","",L920*IFERROR(INDEX(Settings!$B$30:$B$36,MATCH($B920,Settings!$A$30:$A$36,0)),0))</f>
      </c>
      <c r="N920" s="32">
        <f t="shared" si="71"/>
      </c>
      <c r="O920" s="33">
        <f t="shared" si="72"/>
      </c>
      <c r="P920" s="32">
        <f t="shared" si="73"/>
      </c>
      <c r="Q920" s="33">
        <f t="shared" si="74"/>
      </c>
    </row>
    <row r="921" spans="1:17" x14ac:dyDescent="0.25">
      <c r="A921" s="22"/>
      <c r="B921" s="5"/>
      <c r="C921" s="5"/>
      <c r="D921" s="5"/>
      <c r="E921" s="5"/>
      <c r="F921" s="5"/>
      <c r="G921" s="5"/>
      <c r="H921" s="23"/>
      <c r="I921" s="23"/>
      <c r="J921" s="5"/>
      <c r="K921" s="31">
        <f t="shared" si="70"/>
      </c>
      <c r="L921" s="32">
        <f>IF($A921="","",C921*SUMIFS(Settings!$B$21:$B$25,Settings!$A$21:$A$25,SUMPRODUCT(MAX((Settings!$A$21:$A$25&lt;=$A921)*Settings!$A$21:$A$25)))+D921*SUMIFS(Settings!$C$21:$C$25,Settings!$A$21:$A$25,SUMPRODUCT(MAX((Settings!$A$21:$A$25&lt;=$A921)*Settings!$A$21:$A$25))))</f>
      </c>
      <c r="M921" s="32">
        <f>IF($A921="","",L921*IFERROR(INDEX(Settings!$B$30:$B$36,MATCH($B921,Settings!$A$30:$A$36,0)),0))</f>
      </c>
      <c r="N921" s="32">
        <f t="shared" si="71"/>
      </c>
      <c r="O921" s="33">
        <f t="shared" si="72"/>
      </c>
      <c r="P921" s="32">
        <f t="shared" si="73"/>
      </c>
      <c r="Q921" s="33">
        <f t="shared" si="74"/>
      </c>
    </row>
    <row r="922" spans="1:17" x14ac:dyDescent="0.25">
      <c r="A922" s="22"/>
      <c r="B922" s="5"/>
      <c r="C922" s="5"/>
      <c r="D922" s="5"/>
      <c r="E922" s="5"/>
      <c r="F922" s="5"/>
      <c r="G922" s="5"/>
      <c r="H922" s="23"/>
      <c r="I922" s="23"/>
      <c r="J922" s="5"/>
      <c r="K922" s="31">
        <f t="shared" si="70"/>
      </c>
      <c r="L922" s="32">
        <f>IF($A922="","",C922*SUMIFS(Settings!$B$21:$B$25,Settings!$A$21:$A$25,SUMPRODUCT(MAX((Settings!$A$21:$A$25&lt;=$A922)*Settings!$A$21:$A$25)))+D922*SUMIFS(Settings!$C$21:$C$25,Settings!$A$21:$A$25,SUMPRODUCT(MAX((Settings!$A$21:$A$25&lt;=$A922)*Settings!$A$21:$A$25))))</f>
      </c>
      <c r="M922" s="32">
        <f>IF($A922="","",L922*IFERROR(INDEX(Settings!$B$30:$B$36,MATCH($B922,Settings!$A$30:$A$36,0)),0))</f>
      </c>
      <c r="N922" s="32">
        <f t="shared" si="71"/>
      </c>
      <c r="O922" s="33">
        <f t="shared" si="72"/>
      </c>
      <c r="P922" s="32">
        <f t="shared" si="73"/>
      </c>
      <c r="Q922" s="33">
        <f t="shared" si="74"/>
      </c>
    </row>
    <row r="923" spans="1:17" x14ac:dyDescent="0.25">
      <c r="A923" s="22"/>
      <c r="B923" s="5"/>
      <c r="C923" s="5"/>
      <c r="D923" s="5"/>
      <c r="E923" s="5"/>
      <c r="F923" s="5"/>
      <c r="G923" s="5"/>
      <c r="H923" s="23"/>
      <c r="I923" s="23"/>
      <c r="J923" s="5"/>
      <c r="K923" s="31">
        <f t="shared" si="70"/>
      </c>
      <c r="L923" s="32">
        <f>IF($A923="","",C923*SUMIFS(Settings!$B$21:$B$25,Settings!$A$21:$A$25,SUMPRODUCT(MAX((Settings!$A$21:$A$25&lt;=$A923)*Settings!$A$21:$A$25)))+D923*SUMIFS(Settings!$C$21:$C$25,Settings!$A$21:$A$25,SUMPRODUCT(MAX((Settings!$A$21:$A$25&lt;=$A923)*Settings!$A$21:$A$25))))</f>
      </c>
      <c r="M923" s="32">
        <f>IF($A923="","",L923*IFERROR(INDEX(Settings!$B$30:$B$36,MATCH($B923,Settings!$A$30:$A$36,0)),0))</f>
      </c>
      <c r="N923" s="32">
        <f t="shared" si="71"/>
      </c>
      <c r="O923" s="33">
        <f t="shared" si="72"/>
      </c>
      <c r="P923" s="32">
        <f t="shared" si="73"/>
      </c>
      <c r="Q923" s="33">
        <f t="shared" si="74"/>
      </c>
    </row>
    <row r="924" spans="1:17" x14ac:dyDescent="0.25">
      <c r="A924" s="22"/>
      <c r="B924" s="5"/>
      <c r="C924" s="5"/>
      <c r="D924" s="5"/>
      <c r="E924" s="5"/>
      <c r="F924" s="5"/>
      <c r="G924" s="5"/>
      <c r="H924" s="23"/>
      <c r="I924" s="23"/>
      <c r="J924" s="5"/>
      <c r="K924" s="31">
        <f t="shared" si="70"/>
      </c>
      <c r="L924" s="32">
        <f>IF($A924="","",C924*SUMIFS(Settings!$B$21:$B$25,Settings!$A$21:$A$25,SUMPRODUCT(MAX((Settings!$A$21:$A$25&lt;=$A924)*Settings!$A$21:$A$25)))+D924*SUMIFS(Settings!$C$21:$C$25,Settings!$A$21:$A$25,SUMPRODUCT(MAX((Settings!$A$21:$A$25&lt;=$A924)*Settings!$A$21:$A$25))))</f>
      </c>
      <c r="M924" s="32">
        <f>IF($A924="","",L924*IFERROR(INDEX(Settings!$B$30:$B$36,MATCH($B924,Settings!$A$30:$A$36,0)),0))</f>
      </c>
      <c r="N924" s="32">
        <f t="shared" si="71"/>
      </c>
      <c r="O924" s="33">
        <f t="shared" si="72"/>
      </c>
      <c r="P924" s="32">
        <f t="shared" si="73"/>
      </c>
      <c r="Q924" s="33">
        <f t="shared" si="74"/>
      </c>
    </row>
    <row r="925" spans="1:17" x14ac:dyDescent="0.25">
      <c r="A925" s="22"/>
      <c r="B925" s="5"/>
      <c r="C925" s="5"/>
      <c r="D925" s="5"/>
      <c r="E925" s="5"/>
      <c r="F925" s="5"/>
      <c r="G925" s="5"/>
      <c r="H925" s="23"/>
      <c r="I925" s="23"/>
      <c r="J925" s="5"/>
      <c r="K925" s="31">
        <f t="shared" si="70"/>
      </c>
      <c r="L925" s="32">
        <f>IF($A925="","",C925*SUMIFS(Settings!$B$21:$B$25,Settings!$A$21:$A$25,SUMPRODUCT(MAX((Settings!$A$21:$A$25&lt;=$A925)*Settings!$A$21:$A$25)))+D925*SUMIFS(Settings!$C$21:$C$25,Settings!$A$21:$A$25,SUMPRODUCT(MAX((Settings!$A$21:$A$25&lt;=$A925)*Settings!$A$21:$A$25))))</f>
      </c>
      <c r="M925" s="32">
        <f>IF($A925="","",L925*IFERROR(INDEX(Settings!$B$30:$B$36,MATCH($B925,Settings!$A$30:$A$36,0)),0))</f>
      </c>
      <c r="N925" s="32">
        <f t="shared" si="71"/>
      </c>
      <c r="O925" s="33">
        <f t="shared" si="72"/>
      </c>
      <c r="P925" s="32">
        <f t="shared" si="73"/>
      </c>
      <c r="Q925" s="33">
        <f t="shared" si="74"/>
      </c>
    </row>
    <row r="926" spans="1:17" x14ac:dyDescent="0.25">
      <c r="A926" s="22"/>
      <c r="B926" s="5"/>
      <c r="C926" s="5"/>
      <c r="D926" s="5"/>
      <c r="E926" s="5"/>
      <c r="F926" s="5"/>
      <c r="G926" s="5"/>
      <c r="H926" s="23"/>
      <c r="I926" s="23"/>
      <c r="J926" s="5"/>
      <c r="K926" s="31">
        <f t="shared" si="70"/>
      </c>
      <c r="L926" s="32">
        <f>IF($A926="","",C926*SUMIFS(Settings!$B$21:$B$25,Settings!$A$21:$A$25,SUMPRODUCT(MAX((Settings!$A$21:$A$25&lt;=$A926)*Settings!$A$21:$A$25)))+D926*SUMIFS(Settings!$C$21:$C$25,Settings!$A$21:$A$25,SUMPRODUCT(MAX((Settings!$A$21:$A$25&lt;=$A926)*Settings!$A$21:$A$25))))</f>
      </c>
      <c r="M926" s="32">
        <f>IF($A926="","",L926*IFERROR(INDEX(Settings!$B$30:$B$36,MATCH($B926,Settings!$A$30:$A$36,0)),0))</f>
      </c>
      <c r="N926" s="32">
        <f t="shared" si="71"/>
      </c>
      <c r="O926" s="33">
        <f t="shared" si="72"/>
      </c>
      <c r="P926" s="32">
        <f t="shared" si="73"/>
      </c>
      <c r="Q926" s="33">
        <f t="shared" si="74"/>
      </c>
    </row>
    <row r="927" spans="1:17" x14ac:dyDescent="0.25">
      <c r="A927" s="22"/>
      <c r="B927" s="5"/>
      <c r="C927" s="5"/>
      <c r="D927" s="5"/>
      <c r="E927" s="5"/>
      <c r="F927" s="5"/>
      <c r="G927" s="5"/>
      <c r="H927" s="23"/>
      <c r="I927" s="23"/>
      <c r="J927" s="5"/>
      <c r="K927" s="31">
        <f t="shared" si="70"/>
      </c>
      <c r="L927" s="32">
        <f>IF($A927="","",C927*SUMIFS(Settings!$B$21:$B$25,Settings!$A$21:$A$25,SUMPRODUCT(MAX((Settings!$A$21:$A$25&lt;=$A927)*Settings!$A$21:$A$25)))+D927*SUMIFS(Settings!$C$21:$C$25,Settings!$A$21:$A$25,SUMPRODUCT(MAX((Settings!$A$21:$A$25&lt;=$A927)*Settings!$A$21:$A$25))))</f>
      </c>
      <c r="M927" s="32">
        <f>IF($A927="","",L927*IFERROR(INDEX(Settings!$B$30:$B$36,MATCH($B927,Settings!$A$30:$A$36,0)),0))</f>
      </c>
      <c r="N927" s="32">
        <f t="shared" si="71"/>
      </c>
      <c r="O927" s="33">
        <f t="shared" si="72"/>
      </c>
      <c r="P927" s="32">
        <f t="shared" si="73"/>
      </c>
      <c r="Q927" s="33">
        <f t="shared" si="74"/>
      </c>
    </row>
    <row r="928" spans="1:17" x14ac:dyDescent="0.25">
      <c r="A928" s="22"/>
      <c r="B928" s="5"/>
      <c r="C928" s="5"/>
      <c r="D928" s="5"/>
      <c r="E928" s="5"/>
      <c r="F928" s="5"/>
      <c r="G928" s="5"/>
      <c r="H928" s="23"/>
      <c r="I928" s="23"/>
      <c r="J928" s="5"/>
      <c r="K928" s="31">
        <f t="shared" si="70"/>
      </c>
      <c r="L928" s="32">
        <f>IF($A928="","",C928*SUMIFS(Settings!$B$21:$B$25,Settings!$A$21:$A$25,SUMPRODUCT(MAX((Settings!$A$21:$A$25&lt;=$A928)*Settings!$A$21:$A$25)))+D928*SUMIFS(Settings!$C$21:$C$25,Settings!$A$21:$A$25,SUMPRODUCT(MAX((Settings!$A$21:$A$25&lt;=$A928)*Settings!$A$21:$A$25))))</f>
      </c>
      <c r="M928" s="32">
        <f>IF($A928="","",L928*IFERROR(INDEX(Settings!$B$30:$B$36,MATCH($B928,Settings!$A$30:$A$36,0)),0))</f>
      </c>
      <c r="N928" s="32">
        <f t="shared" si="71"/>
      </c>
      <c r="O928" s="33">
        <f t="shared" si="72"/>
      </c>
      <c r="P928" s="32">
        <f t="shared" si="73"/>
      </c>
      <c r="Q928" s="33">
        <f t="shared" si="74"/>
      </c>
    </row>
    <row r="929" spans="1:17" x14ac:dyDescent="0.25">
      <c r="A929" s="22"/>
      <c r="B929" s="5"/>
      <c r="C929" s="5"/>
      <c r="D929" s="5"/>
      <c r="E929" s="5"/>
      <c r="F929" s="5"/>
      <c r="G929" s="5"/>
      <c r="H929" s="23"/>
      <c r="I929" s="23"/>
      <c r="J929" s="5"/>
      <c r="K929" s="31">
        <f t="shared" si="70"/>
      </c>
      <c r="L929" s="32">
        <f>IF($A929="","",C929*SUMIFS(Settings!$B$21:$B$25,Settings!$A$21:$A$25,SUMPRODUCT(MAX((Settings!$A$21:$A$25&lt;=$A929)*Settings!$A$21:$A$25)))+D929*SUMIFS(Settings!$C$21:$C$25,Settings!$A$21:$A$25,SUMPRODUCT(MAX((Settings!$A$21:$A$25&lt;=$A929)*Settings!$A$21:$A$25))))</f>
      </c>
      <c r="M929" s="32">
        <f>IF($A929="","",L929*IFERROR(INDEX(Settings!$B$30:$B$36,MATCH($B929,Settings!$A$30:$A$36,0)),0))</f>
      </c>
      <c r="N929" s="32">
        <f t="shared" si="71"/>
      </c>
      <c r="O929" s="33">
        <f t="shared" si="72"/>
      </c>
      <c r="P929" s="32">
        <f t="shared" si="73"/>
      </c>
      <c r="Q929" s="33">
        <f t="shared" si="74"/>
      </c>
    </row>
    <row r="930" spans="1:17" x14ac:dyDescent="0.25">
      <c r="A930" s="22"/>
      <c r="B930" s="5"/>
      <c r="C930" s="5"/>
      <c r="D930" s="5"/>
      <c r="E930" s="5"/>
      <c r="F930" s="5"/>
      <c r="G930" s="5"/>
      <c r="H930" s="23"/>
      <c r="I930" s="23"/>
      <c r="J930" s="5"/>
      <c r="K930" s="31">
        <f t="shared" si="70"/>
      </c>
      <c r="L930" s="32">
        <f>IF($A930="","",C930*SUMIFS(Settings!$B$21:$B$25,Settings!$A$21:$A$25,SUMPRODUCT(MAX((Settings!$A$21:$A$25&lt;=$A930)*Settings!$A$21:$A$25)))+D930*SUMIFS(Settings!$C$21:$C$25,Settings!$A$21:$A$25,SUMPRODUCT(MAX((Settings!$A$21:$A$25&lt;=$A930)*Settings!$A$21:$A$25))))</f>
      </c>
      <c r="M930" s="32">
        <f>IF($A930="","",L930*IFERROR(INDEX(Settings!$B$30:$B$36,MATCH($B930,Settings!$A$30:$A$36,0)),0))</f>
      </c>
      <c r="N930" s="32">
        <f t="shared" si="71"/>
      </c>
      <c r="O930" s="33">
        <f t="shared" si="72"/>
      </c>
      <c r="P930" s="32">
        <f t="shared" si="73"/>
      </c>
      <c r="Q930" s="33">
        <f t="shared" si="74"/>
      </c>
    </row>
    <row r="931" spans="1:17" x14ac:dyDescent="0.25">
      <c r="A931" s="22"/>
      <c r="B931" s="5"/>
      <c r="C931" s="5"/>
      <c r="D931" s="5"/>
      <c r="E931" s="5"/>
      <c r="F931" s="5"/>
      <c r="G931" s="5"/>
      <c r="H931" s="23"/>
      <c r="I931" s="23"/>
      <c r="J931" s="5"/>
      <c r="K931" s="31">
        <f t="shared" si="70"/>
      </c>
      <c r="L931" s="32">
        <f>IF($A931="","",C931*SUMIFS(Settings!$B$21:$B$25,Settings!$A$21:$A$25,SUMPRODUCT(MAX((Settings!$A$21:$A$25&lt;=$A931)*Settings!$A$21:$A$25)))+D931*SUMIFS(Settings!$C$21:$C$25,Settings!$A$21:$A$25,SUMPRODUCT(MAX((Settings!$A$21:$A$25&lt;=$A931)*Settings!$A$21:$A$25))))</f>
      </c>
      <c r="M931" s="32">
        <f>IF($A931="","",L931*IFERROR(INDEX(Settings!$B$30:$B$36,MATCH($B931,Settings!$A$30:$A$36,0)),0))</f>
      </c>
      <c r="N931" s="32">
        <f t="shared" si="71"/>
      </c>
      <c r="O931" s="33">
        <f t="shared" si="72"/>
      </c>
      <c r="P931" s="32">
        <f t="shared" si="73"/>
      </c>
      <c r="Q931" s="33">
        <f t="shared" si="74"/>
      </c>
    </row>
    <row r="932" spans="1:17" x14ac:dyDescent="0.25">
      <c r="A932" s="22"/>
      <c r="B932" s="5"/>
      <c r="C932" s="5"/>
      <c r="D932" s="5"/>
      <c r="E932" s="5"/>
      <c r="F932" s="5"/>
      <c r="G932" s="5"/>
      <c r="H932" s="23"/>
      <c r="I932" s="23"/>
      <c r="J932" s="5"/>
      <c r="K932" s="31">
        <f t="shared" si="70"/>
      </c>
      <c r="L932" s="32">
        <f>IF($A932="","",C932*SUMIFS(Settings!$B$21:$B$25,Settings!$A$21:$A$25,SUMPRODUCT(MAX((Settings!$A$21:$A$25&lt;=$A932)*Settings!$A$21:$A$25)))+D932*SUMIFS(Settings!$C$21:$C$25,Settings!$A$21:$A$25,SUMPRODUCT(MAX((Settings!$A$21:$A$25&lt;=$A932)*Settings!$A$21:$A$25))))</f>
      </c>
      <c r="M932" s="32">
        <f>IF($A932="","",L932*IFERROR(INDEX(Settings!$B$30:$B$36,MATCH($B932,Settings!$A$30:$A$36,0)),0))</f>
      </c>
      <c r="N932" s="32">
        <f t="shared" si="71"/>
      </c>
      <c r="O932" s="33">
        <f t="shared" si="72"/>
      </c>
      <c r="P932" s="32">
        <f t="shared" si="73"/>
      </c>
      <c r="Q932" s="33">
        <f t="shared" si="74"/>
      </c>
    </row>
    <row r="933" spans="1:17" x14ac:dyDescent="0.25">
      <c r="A933" s="22"/>
      <c r="B933" s="5"/>
      <c r="C933" s="5"/>
      <c r="D933" s="5"/>
      <c r="E933" s="5"/>
      <c r="F933" s="5"/>
      <c r="G933" s="5"/>
      <c r="H933" s="23"/>
      <c r="I933" s="23"/>
      <c r="J933" s="5"/>
      <c r="K933" s="31">
        <f t="shared" si="70"/>
      </c>
      <c r="L933" s="32">
        <f>IF($A933="","",C933*SUMIFS(Settings!$B$21:$B$25,Settings!$A$21:$A$25,SUMPRODUCT(MAX((Settings!$A$21:$A$25&lt;=$A933)*Settings!$A$21:$A$25)))+D933*SUMIFS(Settings!$C$21:$C$25,Settings!$A$21:$A$25,SUMPRODUCT(MAX((Settings!$A$21:$A$25&lt;=$A933)*Settings!$A$21:$A$25))))</f>
      </c>
      <c r="M933" s="32">
        <f>IF($A933="","",L933*IFERROR(INDEX(Settings!$B$30:$B$36,MATCH($B933,Settings!$A$30:$A$36,0)),0))</f>
      </c>
      <c r="N933" s="32">
        <f t="shared" si="71"/>
      </c>
      <c r="O933" s="33">
        <f t="shared" si="72"/>
      </c>
      <c r="P933" s="32">
        <f t="shared" si="73"/>
      </c>
      <c r="Q933" s="33">
        <f t="shared" si="74"/>
      </c>
    </row>
    <row r="934" spans="1:17" x14ac:dyDescent="0.25">
      <c r="A934" s="22"/>
      <c r="B934" s="5"/>
      <c r="C934" s="5"/>
      <c r="D934" s="5"/>
      <c r="E934" s="5"/>
      <c r="F934" s="5"/>
      <c r="G934" s="5"/>
      <c r="H934" s="23"/>
      <c r="I934" s="23"/>
      <c r="J934" s="5"/>
      <c r="K934" s="31">
        <f t="shared" si="70"/>
      </c>
      <c r="L934" s="32">
        <f>IF($A934="","",C934*SUMIFS(Settings!$B$21:$B$25,Settings!$A$21:$A$25,SUMPRODUCT(MAX((Settings!$A$21:$A$25&lt;=$A934)*Settings!$A$21:$A$25)))+D934*SUMIFS(Settings!$C$21:$C$25,Settings!$A$21:$A$25,SUMPRODUCT(MAX((Settings!$A$21:$A$25&lt;=$A934)*Settings!$A$21:$A$25))))</f>
      </c>
      <c r="M934" s="32">
        <f>IF($A934="","",L934*IFERROR(INDEX(Settings!$B$30:$B$36,MATCH($B934,Settings!$A$30:$A$36,0)),0))</f>
      </c>
      <c r="N934" s="32">
        <f t="shared" si="71"/>
      </c>
      <c r="O934" s="33">
        <f t="shared" si="72"/>
      </c>
      <c r="P934" s="32">
        <f t="shared" si="73"/>
      </c>
      <c r="Q934" s="33">
        <f t="shared" si="74"/>
      </c>
    </row>
    <row r="935" spans="1:17" x14ac:dyDescent="0.25">
      <c r="A935" s="22"/>
      <c r="B935" s="5"/>
      <c r="C935" s="5"/>
      <c r="D935" s="5"/>
      <c r="E935" s="5"/>
      <c r="F935" s="5"/>
      <c r="G935" s="5"/>
      <c r="H935" s="23"/>
      <c r="I935" s="23"/>
      <c r="J935" s="5"/>
      <c r="K935" s="31">
        <f t="shared" si="70"/>
      </c>
      <c r="L935" s="32">
        <f>IF($A935="","",C935*SUMIFS(Settings!$B$21:$B$25,Settings!$A$21:$A$25,SUMPRODUCT(MAX((Settings!$A$21:$A$25&lt;=$A935)*Settings!$A$21:$A$25)))+D935*SUMIFS(Settings!$C$21:$C$25,Settings!$A$21:$A$25,SUMPRODUCT(MAX((Settings!$A$21:$A$25&lt;=$A935)*Settings!$A$21:$A$25))))</f>
      </c>
      <c r="M935" s="32">
        <f>IF($A935="","",L935*IFERROR(INDEX(Settings!$B$30:$B$36,MATCH($B935,Settings!$A$30:$A$36,0)),0))</f>
      </c>
      <c r="N935" s="32">
        <f t="shared" si="71"/>
      </c>
      <c r="O935" s="33">
        <f t="shared" si="72"/>
      </c>
      <c r="P935" s="32">
        <f t="shared" si="73"/>
      </c>
      <c r="Q935" s="33">
        <f t="shared" si="74"/>
      </c>
    </row>
    <row r="936" spans="1:17" x14ac:dyDescent="0.25">
      <c r="A936" s="22"/>
      <c r="B936" s="5"/>
      <c r="C936" s="5"/>
      <c r="D936" s="5"/>
      <c r="E936" s="5"/>
      <c r="F936" s="5"/>
      <c r="G936" s="5"/>
      <c r="H936" s="23"/>
      <c r="I936" s="23"/>
      <c r="J936" s="5"/>
      <c r="K936" s="31">
        <f t="shared" si="70"/>
      </c>
      <c r="L936" s="32">
        <f>IF($A936="","",C936*SUMIFS(Settings!$B$21:$B$25,Settings!$A$21:$A$25,SUMPRODUCT(MAX((Settings!$A$21:$A$25&lt;=$A936)*Settings!$A$21:$A$25)))+D936*SUMIFS(Settings!$C$21:$C$25,Settings!$A$21:$A$25,SUMPRODUCT(MAX((Settings!$A$21:$A$25&lt;=$A936)*Settings!$A$21:$A$25))))</f>
      </c>
      <c r="M936" s="32">
        <f>IF($A936="","",L936*IFERROR(INDEX(Settings!$B$30:$B$36,MATCH($B936,Settings!$A$30:$A$36,0)),0))</f>
      </c>
      <c r="N936" s="32">
        <f t="shared" si="71"/>
      </c>
      <c r="O936" s="33">
        <f t="shared" si="72"/>
      </c>
      <c r="P936" s="32">
        <f t="shared" si="73"/>
      </c>
      <c r="Q936" s="33">
        <f t="shared" si="74"/>
      </c>
    </row>
    <row r="937" spans="1:17" x14ac:dyDescent="0.25">
      <c r="A937" s="22"/>
      <c r="B937" s="5"/>
      <c r="C937" s="5"/>
      <c r="D937" s="5"/>
      <c r="E937" s="5"/>
      <c r="F937" s="5"/>
      <c r="G937" s="5"/>
      <c r="H937" s="23"/>
      <c r="I937" s="23"/>
      <c r="J937" s="5"/>
      <c r="K937" s="31">
        <f t="shared" si="70"/>
      </c>
      <c r="L937" s="32">
        <f>IF($A937="","",C937*SUMIFS(Settings!$B$21:$B$25,Settings!$A$21:$A$25,SUMPRODUCT(MAX((Settings!$A$21:$A$25&lt;=$A937)*Settings!$A$21:$A$25)))+D937*SUMIFS(Settings!$C$21:$C$25,Settings!$A$21:$A$25,SUMPRODUCT(MAX((Settings!$A$21:$A$25&lt;=$A937)*Settings!$A$21:$A$25))))</f>
      </c>
      <c r="M937" s="32">
        <f>IF($A937="","",L937*IFERROR(INDEX(Settings!$B$30:$B$36,MATCH($B937,Settings!$A$30:$A$36,0)),0))</f>
      </c>
      <c r="N937" s="32">
        <f t="shared" si="71"/>
      </c>
      <c r="O937" s="33">
        <f t="shared" si="72"/>
      </c>
      <c r="P937" s="32">
        <f t="shared" si="73"/>
      </c>
      <c r="Q937" s="33">
        <f t="shared" si="74"/>
      </c>
    </row>
    <row r="938" spans="1:17" x14ac:dyDescent="0.25">
      <c r="A938" s="22"/>
      <c r="B938" s="5"/>
      <c r="C938" s="5"/>
      <c r="D938" s="5"/>
      <c r="E938" s="5"/>
      <c r="F938" s="5"/>
      <c r="G938" s="5"/>
      <c r="H938" s="23"/>
      <c r="I938" s="23"/>
      <c r="J938" s="5"/>
      <c r="K938" s="31">
        <f t="shared" si="70"/>
      </c>
      <c r="L938" s="32">
        <f>IF($A938="","",C938*SUMIFS(Settings!$B$21:$B$25,Settings!$A$21:$A$25,SUMPRODUCT(MAX((Settings!$A$21:$A$25&lt;=$A938)*Settings!$A$21:$A$25)))+D938*SUMIFS(Settings!$C$21:$C$25,Settings!$A$21:$A$25,SUMPRODUCT(MAX((Settings!$A$21:$A$25&lt;=$A938)*Settings!$A$21:$A$25))))</f>
      </c>
      <c r="M938" s="32">
        <f>IF($A938="","",L938*IFERROR(INDEX(Settings!$B$30:$B$36,MATCH($B938,Settings!$A$30:$A$36,0)),0))</f>
      </c>
      <c r="N938" s="32">
        <f t="shared" si="71"/>
      </c>
      <c r="O938" s="33">
        <f t="shared" si="72"/>
      </c>
      <c r="P938" s="32">
        <f t="shared" si="73"/>
      </c>
      <c r="Q938" s="33">
        <f t="shared" si="74"/>
      </c>
    </row>
    <row r="939" spans="1:17" x14ac:dyDescent="0.25">
      <c r="A939" s="22"/>
      <c r="B939" s="5"/>
      <c r="C939" s="5"/>
      <c r="D939" s="5"/>
      <c r="E939" s="5"/>
      <c r="F939" s="5"/>
      <c r="G939" s="5"/>
      <c r="H939" s="23"/>
      <c r="I939" s="23"/>
      <c r="J939" s="5"/>
      <c r="K939" s="31">
        <f t="shared" si="70"/>
      </c>
      <c r="L939" s="32">
        <f>IF($A939="","",C939*SUMIFS(Settings!$B$21:$B$25,Settings!$A$21:$A$25,SUMPRODUCT(MAX((Settings!$A$21:$A$25&lt;=$A939)*Settings!$A$21:$A$25)))+D939*SUMIFS(Settings!$C$21:$C$25,Settings!$A$21:$A$25,SUMPRODUCT(MAX((Settings!$A$21:$A$25&lt;=$A939)*Settings!$A$21:$A$25))))</f>
      </c>
      <c r="M939" s="32">
        <f>IF($A939="","",L939*IFERROR(INDEX(Settings!$B$30:$B$36,MATCH($B939,Settings!$A$30:$A$36,0)),0))</f>
      </c>
      <c r="N939" s="32">
        <f t="shared" si="71"/>
      </c>
      <c r="O939" s="33">
        <f t="shared" si="72"/>
      </c>
      <c r="P939" s="32">
        <f t="shared" si="73"/>
      </c>
      <c r="Q939" s="33">
        <f t="shared" si="74"/>
      </c>
    </row>
    <row r="940" spans="1:17" x14ac:dyDescent="0.25">
      <c r="A940" s="22"/>
      <c r="B940" s="5"/>
      <c r="C940" s="5"/>
      <c r="D940" s="5"/>
      <c r="E940" s="5"/>
      <c r="F940" s="5"/>
      <c r="G940" s="5"/>
      <c r="H940" s="23"/>
      <c r="I940" s="23"/>
      <c r="J940" s="5"/>
      <c r="K940" s="31">
        <f t="shared" si="70"/>
      </c>
      <c r="L940" s="32">
        <f>IF($A940="","",C940*SUMIFS(Settings!$B$21:$B$25,Settings!$A$21:$A$25,SUMPRODUCT(MAX((Settings!$A$21:$A$25&lt;=$A940)*Settings!$A$21:$A$25)))+D940*SUMIFS(Settings!$C$21:$C$25,Settings!$A$21:$A$25,SUMPRODUCT(MAX((Settings!$A$21:$A$25&lt;=$A940)*Settings!$A$21:$A$25))))</f>
      </c>
      <c r="M940" s="32">
        <f>IF($A940="","",L940*IFERROR(INDEX(Settings!$B$30:$B$36,MATCH($B940,Settings!$A$30:$A$36,0)),0))</f>
      </c>
      <c r="N940" s="32">
        <f t="shared" si="71"/>
      </c>
      <c r="O940" s="33">
        <f t="shared" si="72"/>
      </c>
      <c r="P940" s="32">
        <f t="shared" si="73"/>
      </c>
      <c r="Q940" s="33">
        <f t="shared" si="74"/>
      </c>
    </row>
    <row r="941" spans="1:17" x14ac:dyDescent="0.25">
      <c r="A941" s="22"/>
      <c r="B941" s="5"/>
      <c r="C941" s="5"/>
      <c r="D941" s="5"/>
      <c r="E941" s="5"/>
      <c r="F941" s="5"/>
      <c r="G941" s="5"/>
      <c r="H941" s="23"/>
      <c r="I941" s="23"/>
      <c r="J941" s="5"/>
      <c r="K941" s="31">
        <f t="shared" si="70"/>
      </c>
      <c r="L941" s="32">
        <f>IF($A941="","",C941*SUMIFS(Settings!$B$21:$B$25,Settings!$A$21:$A$25,SUMPRODUCT(MAX((Settings!$A$21:$A$25&lt;=$A941)*Settings!$A$21:$A$25)))+D941*SUMIFS(Settings!$C$21:$C$25,Settings!$A$21:$A$25,SUMPRODUCT(MAX((Settings!$A$21:$A$25&lt;=$A941)*Settings!$A$21:$A$25))))</f>
      </c>
      <c r="M941" s="32">
        <f>IF($A941="","",L941*IFERROR(INDEX(Settings!$B$30:$B$36,MATCH($B941,Settings!$A$30:$A$36,0)),0))</f>
      </c>
      <c r="N941" s="32">
        <f t="shared" si="71"/>
      </c>
      <c r="O941" s="33">
        <f t="shared" si="72"/>
      </c>
      <c r="P941" s="32">
        <f t="shared" si="73"/>
      </c>
      <c r="Q941" s="33">
        <f t="shared" si="74"/>
      </c>
    </row>
    <row r="942" spans="1:17" x14ac:dyDescent="0.25">
      <c r="A942" s="22"/>
      <c r="B942" s="5"/>
      <c r="C942" s="5"/>
      <c r="D942" s="5"/>
      <c r="E942" s="5"/>
      <c r="F942" s="5"/>
      <c r="G942" s="5"/>
      <c r="H942" s="23"/>
      <c r="I942" s="23"/>
      <c r="J942" s="5"/>
      <c r="K942" s="31">
        <f t="shared" si="70"/>
      </c>
      <c r="L942" s="32">
        <f>IF($A942="","",C942*SUMIFS(Settings!$B$21:$B$25,Settings!$A$21:$A$25,SUMPRODUCT(MAX((Settings!$A$21:$A$25&lt;=$A942)*Settings!$A$21:$A$25)))+D942*SUMIFS(Settings!$C$21:$C$25,Settings!$A$21:$A$25,SUMPRODUCT(MAX((Settings!$A$21:$A$25&lt;=$A942)*Settings!$A$21:$A$25))))</f>
      </c>
      <c r="M942" s="32">
        <f>IF($A942="","",L942*IFERROR(INDEX(Settings!$B$30:$B$36,MATCH($B942,Settings!$A$30:$A$36,0)),0))</f>
      </c>
      <c r="N942" s="32">
        <f t="shared" si="71"/>
      </c>
      <c r="O942" s="33">
        <f t="shared" si="72"/>
      </c>
      <c r="P942" s="32">
        <f t="shared" si="73"/>
      </c>
      <c r="Q942" s="33">
        <f t="shared" si="74"/>
      </c>
    </row>
    <row r="943" spans="1:17" x14ac:dyDescent="0.25">
      <c r="A943" s="22"/>
      <c r="B943" s="5"/>
      <c r="C943" s="5"/>
      <c r="D943" s="5"/>
      <c r="E943" s="5"/>
      <c r="F943" s="5"/>
      <c r="G943" s="5"/>
      <c r="H943" s="23"/>
      <c r="I943" s="23"/>
      <c r="J943" s="5"/>
      <c r="K943" s="31">
        <f t="shared" si="70"/>
      </c>
      <c r="L943" s="32">
        <f>IF($A943="","",C943*SUMIFS(Settings!$B$21:$B$25,Settings!$A$21:$A$25,SUMPRODUCT(MAX((Settings!$A$21:$A$25&lt;=$A943)*Settings!$A$21:$A$25)))+D943*SUMIFS(Settings!$C$21:$C$25,Settings!$A$21:$A$25,SUMPRODUCT(MAX((Settings!$A$21:$A$25&lt;=$A943)*Settings!$A$21:$A$25))))</f>
      </c>
      <c r="M943" s="32">
        <f>IF($A943="","",L943*IFERROR(INDEX(Settings!$B$30:$B$36,MATCH($B943,Settings!$A$30:$A$36,0)),0))</f>
      </c>
      <c r="N943" s="32">
        <f t="shared" si="71"/>
      </c>
      <c r="O943" s="33">
        <f t="shared" si="72"/>
      </c>
      <c r="P943" s="32">
        <f t="shared" si="73"/>
      </c>
      <c r="Q943" s="33">
        <f t="shared" si="74"/>
      </c>
    </row>
    <row r="944" spans="1:17" x14ac:dyDescent="0.25">
      <c r="A944" s="22"/>
      <c r="B944" s="5"/>
      <c r="C944" s="5"/>
      <c r="D944" s="5"/>
      <c r="E944" s="5"/>
      <c r="F944" s="5"/>
      <c r="G944" s="5"/>
      <c r="H944" s="23"/>
      <c r="I944" s="23"/>
      <c r="J944" s="5"/>
      <c r="K944" s="31">
        <f t="shared" si="70"/>
      </c>
      <c r="L944" s="32">
        <f>IF($A944="","",C944*SUMIFS(Settings!$B$21:$B$25,Settings!$A$21:$A$25,SUMPRODUCT(MAX((Settings!$A$21:$A$25&lt;=$A944)*Settings!$A$21:$A$25)))+D944*SUMIFS(Settings!$C$21:$C$25,Settings!$A$21:$A$25,SUMPRODUCT(MAX((Settings!$A$21:$A$25&lt;=$A944)*Settings!$A$21:$A$25))))</f>
      </c>
      <c r="M944" s="32">
        <f>IF($A944="","",L944*IFERROR(INDEX(Settings!$B$30:$B$36,MATCH($B944,Settings!$A$30:$A$36,0)),0))</f>
      </c>
      <c r="N944" s="32">
        <f t="shared" si="71"/>
      </c>
      <c r="O944" s="33">
        <f t="shared" si="72"/>
      </c>
      <c r="P944" s="32">
        <f t="shared" si="73"/>
      </c>
      <c r="Q944" s="33">
        <f t="shared" si="74"/>
      </c>
    </row>
    <row r="945" spans="1:17" x14ac:dyDescent="0.25">
      <c r="A945" s="22"/>
      <c r="B945" s="5"/>
      <c r="C945" s="5"/>
      <c r="D945" s="5"/>
      <c r="E945" s="5"/>
      <c r="F945" s="5"/>
      <c r="G945" s="5"/>
      <c r="H945" s="23"/>
      <c r="I945" s="23"/>
      <c r="J945" s="5"/>
      <c r="K945" s="31">
        <f t="shared" si="70"/>
      </c>
      <c r="L945" s="32">
        <f>IF($A945="","",C945*SUMIFS(Settings!$B$21:$B$25,Settings!$A$21:$A$25,SUMPRODUCT(MAX((Settings!$A$21:$A$25&lt;=$A945)*Settings!$A$21:$A$25)))+D945*SUMIFS(Settings!$C$21:$C$25,Settings!$A$21:$A$25,SUMPRODUCT(MAX((Settings!$A$21:$A$25&lt;=$A945)*Settings!$A$21:$A$25))))</f>
      </c>
      <c r="M945" s="32">
        <f>IF($A945="","",L945*IFERROR(INDEX(Settings!$B$30:$B$36,MATCH($B945,Settings!$A$30:$A$36,0)),0))</f>
      </c>
      <c r="N945" s="32">
        <f t="shared" si="71"/>
      </c>
      <c r="O945" s="33">
        <f t="shared" si="72"/>
      </c>
      <c r="P945" s="32">
        <f t="shared" si="73"/>
      </c>
      <c r="Q945" s="33">
        <f t="shared" si="74"/>
      </c>
    </row>
    <row r="946" spans="1:17" x14ac:dyDescent="0.25">
      <c r="A946" s="22"/>
      <c r="B946" s="5"/>
      <c r="C946" s="5"/>
      <c r="D946" s="5"/>
      <c r="E946" s="5"/>
      <c r="F946" s="5"/>
      <c r="G946" s="5"/>
      <c r="H946" s="23"/>
      <c r="I946" s="23"/>
      <c r="J946" s="5"/>
      <c r="K946" s="31">
        <f t="shared" si="70"/>
      </c>
      <c r="L946" s="32">
        <f>IF($A946="","",C946*SUMIFS(Settings!$B$21:$B$25,Settings!$A$21:$A$25,SUMPRODUCT(MAX((Settings!$A$21:$A$25&lt;=$A946)*Settings!$A$21:$A$25)))+D946*SUMIFS(Settings!$C$21:$C$25,Settings!$A$21:$A$25,SUMPRODUCT(MAX((Settings!$A$21:$A$25&lt;=$A946)*Settings!$A$21:$A$25))))</f>
      </c>
      <c r="M946" s="32">
        <f>IF($A946="","",L946*IFERROR(INDEX(Settings!$B$30:$B$36,MATCH($B946,Settings!$A$30:$A$36,0)),0))</f>
      </c>
      <c r="N946" s="32">
        <f t="shared" si="71"/>
      </c>
      <c r="O946" s="33">
        <f t="shared" si="72"/>
      </c>
      <c r="P946" s="32">
        <f t="shared" si="73"/>
      </c>
      <c r="Q946" s="33">
        <f t="shared" si="74"/>
      </c>
    </row>
    <row r="947" spans="1:17" x14ac:dyDescent="0.25">
      <c r="A947" s="22"/>
      <c r="B947" s="5"/>
      <c r="C947" s="5"/>
      <c r="D947" s="5"/>
      <c r="E947" s="5"/>
      <c r="F947" s="5"/>
      <c r="G947" s="5"/>
      <c r="H947" s="23"/>
      <c r="I947" s="23"/>
      <c r="J947" s="5"/>
      <c r="K947" s="31">
        <f t="shared" si="70"/>
      </c>
      <c r="L947" s="32">
        <f>IF($A947="","",C947*SUMIFS(Settings!$B$21:$B$25,Settings!$A$21:$A$25,SUMPRODUCT(MAX((Settings!$A$21:$A$25&lt;=$A947)*Settings!$A$21:$A$25)))+D947*SUMIFS(Settings!$C$21:$C$25,Settings!$A$21:$A$25,SUMPRODUCT(MAX((Settings!$A$21:$A$25&lt;=$A947)*Settings!$A$21:$A$25))))</f>
      </c>
      <c r="M947" s="32">
        <f>IF($A947="","",L947*IFERROR(INDEX(Settings!$B$30:$B$36,MATCH($B947,Settings!$A$30:$A$36,0)),0))</f>
      </c>
      <c r="N947" s="32">
        <f t="shared" si="71"/>
      </c>
      <c r="O947" s="33">
        <f t="shared" si="72"/>
      </c>
      <c r="P947" s="32">
        <f t="shared" si="73"/>
      </c>
      <c r="Q947" s="33">
        <f t="shared" si="74"/>
      </c>
    </row>
    <row r="948" spans="1:17" x14ac:dyDescent="0.25">
      <c r="A948" s="22"/>
      <c r="B948" s="5"/>
      <c r="C948" s="5"/>
      <c r="D948" s="5"/>
      <c r="E948" s="5"/>
      <c r="F948" s="5"/>
      <c r="G948" s="5"/>
      <c r="H948" s="23"/>
      <c r="I948" s="23"/>
      <c r="J948" s="5"/>
      <c r="K948" s="31">
        <f t="shared" si="70"/>
      </c>
      <c r="L948" s="32">
        <f>IF($A948="","",C948*SUMIFS(Settings!$B$21:$B$25,Settings!$A$21:$A$25,SUMPRODUCT(MAX((Settings!$A$21:$A$25&lt;=$A948)*Settings!$A$21:$A$25)))+D948*SUMIFS(Settings!$C$21:$C$25,Settings!$A$21:$A$25,SUMPRODUCT(MAX((Settings!$A$21:$A$25&lt;=$A948)*Settings!$A$21:$A$25))))</f>
      </c>
      <c r="M948" s="32">
        <f>IF($A948="","",L948*IFERROR(INDEX(Settings!$B$30:$B$36,MATCH($B948,Settings!$A$30:$A$36,0)),0))</f>
      </c>
      <c r="N948" s="32">
        <f t="shared" si="71"/>
      </c>
      <c r="O948" s="33">
        <f t="shared" si="72"/>
      </c>
      <c r="P948" s="32">
        <f t="shared" si="73"/>
      </c>
      <c r="Q948" s="33">
        <f t="shared" si="74"/>
      </c>
    </row>
    <row r="949" spans="1:17" x14ac:dyDescent="0.25">
      <c r="A949" s="22"/>
      <c r="B949" s="5"/>
      <c r="C949" s="5"/>
      <c r="D949" s="5"/>
      <c r="E949" s="5"/>
      <c r="F949" s="5"/>
      <c r="G949" s="5"/>
      <c r="H949" s="23"/>
      <c r="I949" s="23"/>
      <c r="J949" s="5"/>
      <c r="K949" s="31">
        <f t="shared" si="70"/>
      </c>
      <c r="L949" s="32">
        <f>IF($A949="","",C949*SUMIFS(Settings!$B$21:$B$25,Settings!$A$21:$A$25,SUMPRODUCT(MAX((Settings!$A$21:$A$25&lt;=$A949)*Settings!$A$21:$A$25)))+D949*SUMIFS(Settings!$C$21:$C$25,Settings!$A$21:$A$25,SUMPRODUCT(MAX((Settings!$A$21:$A$25&lt;=$A949)*Settings!$A$21:$A$25))))</f>
      </c>
      <c r="M949" s="32">
        <f>IF($A949="","",L949*IFERROR(INDEX(Settings!$B$30:$B$36,MATCH($B949,Settings!$A$30:$A$36,0)),0))</f>
      </c>
      <c r="N949" s="32">
        <f t="shared" si="71"/>
      </c>
      <c r="O949" s="33">
        <f t="shared" si="72"/>
      </c>
      <c r="P949" s="32">
        <f t="shared" si="73"/>
      </c>
      <c r="Q949" s="33">
        <f t="shared" si="74"/>
      </c>
    </row>
    <row r="950" spans="1:17" x14ac:dyDescent="0.25">
      <c r="A950" s="22"/>
      <c r="B950" s="5"/>
      <c r="C950" s="5"/>
      <c r="D950" s="5"/>
      <c r="E950" s="5"/>
      <c r="F950" s="5"/>
      <c r="G950" s="5"/>
      <c r="H950" s="23"/>
      <c r="I950" s="23"/>
      <c r="J950" s="5"/>
      <c r="K950" s="31">
        <f t="shared" si="70"/>
      </c>
      <c r="L950" s="32">
        <f>IF($A950="","",C950*SUMIFS(Settings!$B$21:$B$25,Settings!$A$21:$A$25,SUMPRODUCT(MAX((Settings!$A$21:$A$25&lt;=$A950)*Settings!$A$21:$A$25)))+D950*SUMIFS(Settings!$C$21:$C$25,Settings!$A$21:$A$25,SUMPRODUCT(MAX((Settings!$A$21:$A$25&lt;=$A950)*Settings!$A$21:$A$25))))</f>
      </c>
      <c r="M950" s="32">
        <f>IF($A950="","",L950*IFERROR(INDEX(Settings!$B$30:$B$36,MATCH($B950,Settings!$A$30:$A$36,0)),0))</f>
      </c>
      <c r="N950" s="32">
        <f t="shared" si="71"/>
      </c>
      <c r="O950" s="33">
        <f t="shared" si="72"/>
      </c>
      <c r="P950" s="32">
        <f t="shared" si="73"/>
      </c>
      <c r="Q950" s="33">
        <f t="shared" si="74"/>
      </c>
    </row>
    <row r="951" spans="1:17" x14ac:dyDescent="0.25">
      <c r="A951" s="22"/>
      <c r="B951" s="5"/>
      <c r="C951" s="5"/>
      <c r="D951" s="5"/>
      <c r="E951" s="5"/>
      <c r="F951" s="5"/>
      <c r="G951" s="5"/>
      <c r="H951" s="23"/>
      <c r="I951" s="23"/>
      <c r="J951" s="5"/>
      <c r="K951" s="31">
        <f t="shared" si="70"/>
      </c>
      <c r="L951" s="32">
        <f>IF($A951="","",C951*SUMIFS(Settings!$B$21:$B$25,Settings!$A$21:$A$25,SUMPRODUCT(MAX((Settings!$A$21:$A$25&lt;=$A951)*Settings!$A$21:$A$25)))+D951*SUMIFS(Settings!$C$21:$C$25,Settings!$A$21:$A$25,SUMPRODUCT(MAX((Settings!$A$21:$A$25&lt;=$A951)*Settings!$A$21:$A$25))))</f>
      </c>
      <c r="M951" s="32">
        <f>IF($A951="","",L951*IFERROR(INDEX(Settings!$B$30:$B$36,MATCH($B951,Settings!$A$30:$A$36,0)),0))</f>
      </c>
      <c r="N951" s="32">
        <f t="shared" si="71"/>
      </c>
      <c r="O951" s="33">
        <f t="shared" si="72"/>
      </c>
      <c r="P951" s="32">
        <f t="shared" si="73"/>
      </c>
      <c r="Q951" s="33">
        <f t="shared" si="74"/>
      </c>
    </row>
    <row r="952" spans="1:17" x14ac:dyDescent="0.25">
      <c r="A952" s="22"/>
      <c r="B952" s="5"/>
      <c r="C952" s="5"/>
      <c r="D952" s="5"/>
      <c r="E952" s="5"/>
      <c r="F952" s="5"/>
      <c r="G952" s="5"/>
      <c r="H952" s="23"/>
      <c r="I952" s="23"/>
      <c r="J952" s="5"/>
      <c r="K952" s="31">
        <f t="shared" si="70"/>
      </c>
      <c r="L952" s="32">
        <f>IF($A952="","",C952*SUMIFS(Settings!$B$21:$B$25,Settings!$A$21:$A$25,SUMPRODUCT(MAX((Settings!$A$21:$A$25&lt;=$A952)*Settings!$A$21:$A$25)))+D952*SUMIFS(Settings!$C$21:$C$25,Settings!$A$21:$A$25,SUMPRODUCT(MAX((Settings!$A$21:$A$25&lt;=$A952)*Settings!$A$21:$A$25))))</f>
      </c>
      <c r="M952" s="32">
        <f>IF($A952="","",L952*IFERROR(INDEX(Settings!$B$30:$B$36,MATCH($B952,Settings!$A$30:$A$36,0)),0))</f>
      </c>
      <c r="N952" s="32">
        <f t="shared" si="71"/>
      </c>
      <c r="O952" s="33">
        <f t="shared" si="72"/>
      </c>
      <c r="P952" s="32">
        <f t="shared" si="73"/>
      </c>
      <c r="Q952" s="33">
        <f t="shared" si="74"/>
      </c>
    </row>
    <row r="953" spans="1:17" x14ac:dyDescent="0.25">
      <c r="A953" s="22"/>
      <c r="B953" s="5"/>
      <c r="C953" s="5"/>
      <c r="D953" s="5"/>
      <c r="E953" s="5"/>
      <c r="F953" s="5"/>
      <c r="G953" s="5"/>
      <c r="H953" s="23"/>
      <c r="I953" s="23"/>
      <c r="J953" s="5"/>
      <c r="K953" s="31">
        <f t="shared" si="70"/>
      </c>
      <c r="L953" s="32">
        <f>IF($A953="","",C953*SUMIFS(Settings!$B$21:$B$25,Settings!$A$21:$A$25,SUMPRODUCT(MAX((Settings!$A$21:$A$25&lt;=$A953)*Settings!$A$21:$A$25)))+D953*SUMIFS(Settings!$C$21:$C$25,Settings!$A$21:$A$25,SUMPRODUCT(MAX((Settings!$A$21:$A$25&lt;=$A953)*Settings!$A$21:$A$25))))</f>
      </c>
      <c r="M953" s="32">
        <f>IF($A953="","",L953*IFERROR(INDEX(Settings!$B$30:$B$36,MATCH($B953,Settings!$A$30:$A$36,0)),0))</f>
      </c>
      <c r="N953" s="32">
        <f t="shared" si="71"/>
      </c>
      <c r="O953" s="33">
        <f t="shared" si="72"/>
      </c>
      <c r="P953" s="32">
        <f t="shared" si="73"/>
      </c>
      <c r="Q953" s="33">
        <f t="shared" si="74"/>
      </c>
    </row>
    <row r="954" spans="1:17" x14ac:dyDescent="0.25">
      <c r="A954" s="22"/>
      <c r="B954" s="5"/>
      <c r="C954" s="5"/>
      <c r="D954" s="5"/>
      <c r="E954" s="5"/>
      <c r="F954" s="5"/>
      <c r="G954" s="5"/>
      <c r="H954" s="23"/>
      <c r="I954" s="23"/>
      <c r="J954" s="5"/>
      <c r="K954" s="31">
        <f t="shared" si="70"/>
      </c>
      <c r="L954" s="32">
        <f>IF($A954="","",C954*SUMIFS(Settings!$B$21:$B$25,Settings!$A$21:$A$25,SUMPRODUCT(MAX((Settings!$A$21:$A$25&lt;=$A954)*Settings!$A$21:$A$25)))+D954*SUMIFS(Settings!$C$21:$C$25,Settings!$A$21:$A$25,SUMPRODUCT(MAX((Settings!$A$21:$A$25&lt;=$A954)*Settings!$A$21:$A$25))))</f>
      </c>
      <c r="M954" s="32">
        <f>IF($A954="","",L954*IFERROR(INDEX(Settings!$B$30:$B$36,MATCH($B954,Settings!$A$30:$A$36,0)),0))</f>
      </c>
      <c r="N954" s="32">
        <f t="shared" si="71"/>
      </c>
      <c r="O954" s="33">
        <f t="shared" si="72"/>
      </c>
      <c r="P954" s="32">
        <f t="shared" si="73"/>
      </c>
      <c r="Q954" s="33">
        <f t="shared" si="74"/>
      </c>
    </row>
    <row r="955" spans="1:17" x14ac:dyDescent="0.25">
      <c r="A955" s="22"/>
      <c r="B955" s="5"/>
      <c r="C955" s="5"/>
      <c r="D955" s="5"/>
      <c r="E955" s="5"/>
      <c r="F955" s="5"/>
      <c r="G955" s="5"/>
      <c r="H955" s="23"/>
      <c r="I955" s="23"/>
      <c r="J955" s="5"/>
      <c r="K955" s="31">
        <f t="shared" si="70"/>
      </c>
      <c r="L955" s="32">
        <f>IF($A955="","",C955*SUMIFS(Settings!$B$21:$B$25,Settings!$A$21:$A$25,SUMPRODUCT(MAX((Settings!$A$21:$A$25&lt;=$A955)*Settings!$A$21:$A$25)))+D955*SUMIFS(Settings!$C$21:$C$25,Settings!$A$21:$A$25,SUMPRODUCT(MAX((Settings!$A$21:$A$25&lt;=$A955)*Settings!$A$21:$A$25))))</f>
      </c>
      <c r="M955" s="32">
        <f>IF($A955="","",L955*IFERROR(INDEX(Settings!$B$30:$B$36,MATCH($B955,Settings!$A$30:$A$36,0)),0))</f>
      </c>
      <c r="N955" s="32">
        <f t="shared" si="71"/>
      </c>
      <c r="O955" s="33">
        <f t="shared" si="72"/>
      </c>
      <c r="P955" s="32">
        <f t="shared" si="73"/>
      </c>
      <c r="Q955" s="33">
        <f t="shared" si="74"/>
      </c>
    </row>
    <row r="956" spans="1:17" x14ac:dyDescent="0.25">
      <c r="A956" s="22"/>
      <c r="B956" s="5"/>
      <c r="C956" s="5"/>
      <c r="D956" s="5"/>
      <c r="E956" s="5"/>
      <c r="F956" s="5"/>
      <c r="G956" s="5"/>
      <c r="H956" s="23"/>
      <c r="I956" s="23"/>
      <c r="J956" s="5"/>
      <c r="K956" s="31">
        <f t="shared" si="70"/>
      </c>
      <c r="L956" s="32">
        <f>IF($A956="","",C956*SUMIFS(Settings!$B$21:$B$25,Settings!$A$21:$A$25,SUMPRODUCT(MAX((Settings!$A$21:$A$25&lt;=$A956)*Settings!$A$21:$A$25)))+D956*SUMIFS(Settings!$C$21:$C$25,Settings!$A$21:$A$25,SUMPRODUCT(MAX((Settings!$A$21:$A$25&lt;=$A956)*Settings!$A$21:$A$25))))</f>
      </c>
      <c r="M956" s="32">
        <f>IF($A956="","",L956*IFERROR(INDEX(Settings!$B$30:$B$36,MATCH($B956,Settings!$A$30:$A$36,0)),0))</f>
      </c>
      <c r="N956" s="32">
        <f t="shared" si="71"/>
      </c>
      <c r="O956" s="33">
        <f t="shared" si="72"/>
      </c>
      <c r="P956" s="32">
        <f t="shared" si="73"/>
      </c>
      <c r="Q956" s="33">
        <f t="shared" si="74"/>
      </c>
    </row>
    <row r="957" spans="1:17" x14ac:dyDescent="0.25">
      <c r="A957" s="22"/>
      <c r="B957" s="5"/>
      <c r="C957" s="5"/>
      <c r="D957" s="5"/>
      <c r="E957" s="5"/>
      <c r="F957" s="5"/>
      <c r="G957" s="5"/>
      <c r="H957" s="23"/>
      <c r="I957" s="23"/>
      <c r="J957" s="5"/>
      <c r="K957" s="31">
        <f t="shared" si="70"/>
      </c>
      <c r="L957" s="32">
        <f>IF($A957="","",C957*SUMIFS(Settings!$B$21:$B$25,Settings!$A$21:$A$25,SUMPRODUCT(MAX((Settings!$A$21:$A$25&lt;=$A957)*Settings!$A$21:$A$25)))+D957*SUMIFS(Settings!$C$21:$C$25,Settings!$A$21:$A$25,SUMPRODUCT(MAX((Settings!$A$21:$A$25&lt;=$A957)*Settings!$A$21:$A$25))))</f>
      </c>
      <c r="M957" s="32">
        <f>IF($A957="","",L957*IFERROR(INDEX(Settings!$B$30:$B$36,MATCH($B957,Settings!$A$30:$A$36,0)),0))</f>
      </c>
      <c r="N957" s="32">
        <f t="shared" si="71"/>
      </c>
      <c r="O957" s="33">
        <f t="shared" si="72"/>
      </c>
      <c r="P957" s="32">
        <f t="shared" si="73"/>
      </c>
      <c r="Q957" s="33">
        <f t="shared" si="74"/>
      </c>
    </row>
    <row r="958" spans="1:17" x14ac:dyDescent="0.25">
      <c r="A958" s="22"/>
      <c r="B958" s="5"/>
      <c r="C958" s="5"/>
      <c r="D958" s="5"/>
      <c r="E958" s="5"/>
      <c r="F958" s="5"/>
      <c r="G958" s="5"/>
      <c r="H958" s="23"/>
      <c r="I958" s="23"/>
      <c r="J958" s="5"/>
      <c r="K958" s="31">
        <f t="shared" si="70"/>
      </c>
      <c r="L958" s="32">
        <f>IF($A958="","",C958*SUMIFS(Settings!$B$21:$B$25,Settings!$A$21:$A$25,SUMPRODUCT(MAX((Settings!$A$21:$A$25&lt;=$A958)*Settings!$A$21:$A$25)))+D958*SUMIFS(Settings!$C$21:$C$25,Settings!$A$21:$A$25,SUMPRODUCT(MAX((Settings!$A$21:$A$25&lt;=$A958)*Settings!$A$21:$A$25))))</f>
      </c>
      <c r="M958" s="32">
        <f>IF($A958="","",L958*IFERROR(INDEX(Settings!$B$30:$B$36,MATCH($B958,Settings!$A$30:$A$36,0)),0))</f>
      </c>
      <c r="N958" s="32">
        <f t="shared" si="71"/>
      </c>
      <c r="O958" s="33">
        <f t="shared" si="72"/>
      </c>
      <c r="P958" s="32">
        <f t="shared" si="73"/>
      </c>
      <c r="Q958" s="33">
        <f t="shared" si="74"/>
      </c>
    </row>
    <row r="959" spans="1:17" x14ac:dyDescent="0.25">
      <c r="A959" s="22"/>
      <c r="B959" s="5"/>
      <c r="C959" s="5"/>
      <c r="D959" s="5"/>
      <c r="E959" s="5"/>
      <c r="F959" s="5"/>
      <c r="G959" s="5"/>
      <c r="H959" s="23"/>
      <c r="I959" s="23"/>
      <c r="J959" s="5"/>
      <c r="K959" s="31">
        <f t="shared" si="70"/>
      </c>
      <c r="L959" s="32">
        <f>IF($A959="","",C959*SUMIFS(Settings!$B$21:$B$25,Settings!$A$21:$A$25,SUMPRODUCT(MAX((Settings!$A$21:$A$25&lt;=$A959)*Settings!$A$21:$A$25)))+D959*SUMIFS(Settings!$C$21:$C$25,Settings!$A$21:$A$25,SUMPRODUCT(MAX((Settings!$A$21:$A$25&lt;=$A959)*Settings!$A$21:$A$25))))</f>
      </c>
      <c r="M959" s="32">
        <f>IF($A959="","",L959*IFERROR(INDEX(Settings!$B$30:$B$36,MATCH($B959,Settings!$A$30:$A$36,0)),0))</f>
      </c>
      <c r="N959" s="32">
        <f t="shared" si="71"/>
      </c>
      <c r="O959" s="33">
        <f t="shared" si="72"/>
      </c>
      <c r="P959" s="32">
        <f t="shared" si="73"/>
      </c>
      <c r="Q959" s="33">
        <f t="shared" si="74"/>
      </c>
    </row>
    <row r="960" spans="1:17" x14ac:dyDescent="0.25">
      <c r="A960" s="22"/>
      <c r="B960" s="5"/>
      <c r="C960" s="5"/>
      <c r="D960" s="5"/>
      <c r="E960" s="5"/>
      <c r="F960" s="5"/>
      <c r="G960" s="5"/>
      <c r="H960" s="23"/>
      <c r="I960" s="23"/>
      <c r="J960" s="5"/>
      <c r="K960" s="31">
        <f t="shared" si="70"/>
      </c>
      <c r="L960" s="32">
        <f>IF($A960="","",C960*SUMIFS(Settings!$B$21:$B$25,Settings!$A$21:$A$25,SUMPRODUCT(MAX((Settings!$A$21:$A$25&lt;=$A960)*Settings!$A$21:$A$25)))+D960*SUMIFS(Settings!$C$21:$C$25,Settings!$A$21:$A$25,SUMPRODUCT(MAX((Settings!$A$21:$A$25&lt;=$A960)*Settings!$A$21:$A$25))))</f>
      </c>
      <c r="M960" s="32">
        <f>IF($A960="","",L960*IFERROR(INDEX(Settings!$B$30:$B$36,MATCH($B960,Settings!$A$30:$A$36,0)),0))</f>
      </c>
      <c r="N960" s="32">
        <f t="shared" si="71"/>
      </c>
      <c r="O960" s="33">
        <f t="shared" si="72"/>
      </c>
      <c r="P960" s="32">
        <f t="shared" si="73"/>
      </c>
      <c r="Q960" s="33">
        <f t="shared" si="74"/>
      </c>
    </row>
    <row r="961" spans="1:17" x14ac:dyDescent="0.25">
      <c r="A961" s="22"/>
      <c r="B961" s="5"/>
      <c r="C961" s="5"/>
      <c r="D961" s="5"/>
      <c r="E961" s="5"/>
      <c r="F961" s="5"/>
      <c r="G961" s="5"/>
      <c r="H961" s="23"/>
      <c r="I961" s="23"/>
      <c r="J961" s="5"/>
      <c r="K961" s="31">
        <f t="shared" si="70"/>
      </c>
      <c r="L961" s="32">
        <f>IF($A961="","",C961*SUMIFS(Settings!$B$21:$B$25,Settings!$A$21:$A$25,SUMPRODUCT(MAX((Settings!$A$21:$A$25&lt;=$A961)*Settings!$A$21:$A$25)))+D961*SUMIFS(Settings!$C$21:$C$25,Settings!$A$21:$A$25,SUMPRODUCT(MAX((Settings!$A$21:$A$25&lt;=$A961)*Settings!$A$21:$A$25))))</f>
      </c>
      <c r="M961" s="32">
        <f>IF($A961="","",L961*IFERROR(INDEX(Settings!$B$30:$B$36,MATCH($B961,Settings!$A$30:$A$36,0)),0))</f>
      </c>
      <c r="N961" s="32">
        <f t="shared" si="71"/>
      </c>
      <c r="O961" s="33">
        <f t="shared" si="72"/>
      </c>
      <c r="P961" s="32">
        <f t="shared" si="73"/>
      </c>
      <c r="Q961" s="33">
        <f t="shared" si="74"/>
      </c>
    </row>
    <row r="962" spans="1:17" x14ac:dyDescent="0.25">
      <c r="A962" s="22"/>
      <c r="B962" s="5"/>
      <c r="C962" s="5"/>
      <c r="D962" s="5"/>
      <c r="E962" s="5"/>
      <c r="F962" s="5"/>
      <c r="G962" s="5"/>
      <c r="H962" s="23"/>
      <c r="I962" s="23"/>
      <c r="J962" s="5"/>
      <c r="K962" s="31">
        <f t="shared" si="70"/>
      </c>
      <c r="L962" s="32">
        <f>IF($A962="","",C962*SUMIFS(Settings!$B$21:$B$25,Settings!$A$21:$A$25,SUMPRODUCT(MAX((Settings!$A$21:$A$25&lt;=$A962)*Settings!$A$21:$A$25)))+D962*SUMIFS(Settings!$C$21:$C$25,Settings!$A$21:$A$25,SUMPRODUCT(MAX((Settings!$A$21:$A$25&lt;=$A962)*Settings!$A$21:$A$25))))</f>
      </c>
      <c r="M962" s="32">
        <f>IF($A962="","",L962*IFERROR(INDEX(Settings!$B$30:$B$36,MATCH($B962,Settings!$A$30:$A$36,0)),0))</f>
      </c>
      <c r="N962" s="32">
        <f t="shared" si="71"/>
      </c>
      <c r="O962" s="33">
        <f t="shared" si="72"/>
      </c>
      <c r="P962" s="32">
        <f t="shared" si="73"/>
      </c>
      <c r="Q962" s="33">
        <f t="shared" si="74"/>
      </c>
    </row>
    <row r="963" spans="1:17" x14ac:dyDescent="0.25">
      <c r="A963" s="22"/>
      <c r="B963" s="5"/>
      <c r="C963" s="5"/>
      <c r="D963" s="5"/>
      <c r="E963" s="5"/>
      <c r="F963" s="5"/>
      <c r="G963" s="5"/>
      <c r="H963" s="23"/>
      <c r="I963" s="23"/>
      <c r="J963" s="5"/>
      <c r="K963" s="31">
        <f t="shared" si="70"/>
      </c>
      <c r="L963" s="32">
        <f>IF($A963="","",C963*SUMIFS(Settings!$B$21:$B$25,Settings!$A$21:$A$25,SUMPRODUCT(MAX((Settings!$A$21:$A$25&lt;=$A963)*Settings!$A$21:$A$25)))+D963*SUMIFS(Settings!$C$21:$C$25,Settings!$A$21:$A$25,SUMPRODUCT(MAX((Settings!$A$21:$A$25&lt;=$A963)*Settings!$A$21:$A$25))))</f>
      </c>
      <c r="M963" s="32">
        <f>IF($A963="","",L963*IFERROR(INDEX(Settings!$B$30:$B$36,MATCH($B963,Settings!$A$30:$A$36,0)),0))</f>
      </c>
      <c r="N963" s="32">
        <f t="shared" si="71"/>
      </c>
      <c r="O963" s="33">
        <f t="shared" si="72"/>
      </c>
      <c r="P963" s="32">
        <f t="shared" si="73"/>
      </c>
      <c r="Q963" s="33">
        <f t="shared" si="74"/>
      </c>
    </row>
    <row r="964" spans="1:17" x14ac:dyDescent="0.25">
      <c r="A964" s="22"/>
      <c r="B964" s="5"/>
      <c r="C964" s="5"/>
      <c r="D964" s="5"/>
      <c r="E964" s="5"/>
      <c r="F964" s="5"/>
      <c r="G964" s="5"/>
      <c r="H964" s="23"/>
      <c r="I964" s="23"/>
      <c r="J964" s="5"/>
      <c r="K964" s="31">
        <f t="shared" si="70"/>
      </c>
      <c r="L964" s="32">
        <f>IF($A964="","",C964*SUMIFS(Settings!$B$21:$B$25,Settings!$A$21:$A$25,SUMPRODUCT(MAX((Settings!$A$21:$A$25&lt;=$A964)*Settings!$A$21:$A$25)))+D964*SUMIFS(Settings!$C$21:$C$25,Settings!$A$21:$A$25,SUMPRODUCT(MAX((Settings!$A$21:$A$25&lt;=$A964)*Settings!$A$21:$A$25))))</f>
      </c>
      <c r="M964" s="32">
        <f>IF($A964="","",L964*IFERROR(INDEX(Settings!$B$30:$B$36,MATCH($B964,Settings!$A$30:$A$36,0)),0))</f>
      </c>
      <c r="N964" s="32">
        <f t="shared" si="71"/>
      </c>
      <c r="O964" s="33">
        <f t="shared" si="72"/>
      </c>
      <c r="P964" s="32">
        <f t="shared" si="73"/>
      </c>
      <c r="Q964" s="33">
        <f t="shared" si="74"/>
      </c>
    </row>
    <row r="965" spans="1:17" x14ac:dyDescent="0.25">
      <c r="A965" s="22"/>
      <c r="B965" s="5"/>
      <c r="C965" s="5"/>
      <c r="D965" s="5"/>
      <c r="E965" s="5"/>
      <c r="F965" s="5"/>
      <c r="G965" s="5"/>
      <c r="H965" s="23"/>
      <c r="I965" s="23"/>
      <c r="J965" s="5"/>
      <c r="K965" s="31">
        <f t="shared" si="70"/>
      </c>
      <c r="L965" s="32">
        <f>IF($A965="","",C965*SUMIFS(Settings!$B$21:$B$25,Settings!$A$21:$A$25,SUMPRODUCT(MAX((Settings!$A$21:$A$25&lt;=$A965)*Settings!$A$21:$A$25)))+D965*SUMIFS(Settings!$C$21:$C$25,Settings!$A$21:$A$25,SUMPRODUCT(MAX((Settings!$A$21:$A$25&lt;=$A965)*Settings!$A$21:$A$25))))</f>
      </c>
      <c r="M965" s="32">
        <f>IF($A965="","",L965*IFERROR(INDEX(Settings!$B$30:$B$36,MATCH($B965,Settings!$A$30:$A$36,0)),0))</f>
      </c>
      <c r="N965" s="32">
        <f t="shared" si="71"/>
      </c>
      <c r="O965" s="33">
        <f t="shared" si="72"/>
      </c>
      <c r="P965" s="32">
        <f t="shared" si="73"/>
      </c>
      <c r="Q965" s="33">
        <f t="shared" si="74"/>
      </c>
    </row>
    <row r="966" spans="1:17" x14ac:dyDescent="0.25">
      <c r="A966" s="22"/>
      <c r="B966" s="5"/>
      <c r="C966" s="5"/>
      <c r="D966" s="5"/>
      <c r="E966" s="5"/>
      <c r="F966" s="5"/>
      <c r="G966" s="5"/>
      <c r="H966" s="23"/>
      <c r="I966" s="23"/>
      <c r="J966" s="5"/>
      <c r="K966" s="31">
        <f t="shared" ref="K966:K1005" si="75">IF($A966="","",C966+D966)</f>
      </c>
      <c r="L966" s="32">
        <f>IF($A966="","",C966*SUMIFS(Settings!$B$21:$B$25,Settings!$A$21:$A$25,SUMPRODUCT(MAX((Settings!$A$21:$A$25&lt;=$A966)*Settings!$A$21:$A$25)))+D966*SUMIFS(Settings!$C$21:$C$25,Settings!$A$21:$A$25,SUMPRODUCT(MAX((Settings!$A$21:$A$25&lt;=$A966)*Settings!$A$21:$A$25))))</f>
      </c>
      <c r="M966" s="32">
        <f>IF($A966="","",L966*IFERROR(INDEX(Settings!$B$30:$B$36,MATCH($B966,Settings!$A$30:$A$36,0)),0))</f>
      </c>
      <c r="N966" s="32">
        <f t="shared" ref="N966:N1005" si="76">IF(OR($A966="",F966="",G966=""),"",(F966-G966)-(K966+E966))</f>
      </c>
      <c r="O966" s="33">
        <f t="shared" ref="O966:O1029" si="77">IF(N966="","",IF(N966=0,"OK","CHECK"))</f>
      </c>
      <c r="P966" s="32">
        <f t="shared" ref="P966:P1005" si="78">IF(OR($A966="",AND(H966="",I966="")),"",H966+I966-L966)</f>
      </c>
      <c r="Q966" s="33">
        <f t="shared" ref="Q966:Q1029" si="79">IF(P966="","",IF(P966=0,"OK","CHECK"))</f>
      </c>
    </row>
    <row r="967" spans="1:17" x14ac:dyDescent="0.25">
      <c r="A967" s="22"/>
      <c r="B967" s="5"/>
      <c r="C967" s="5"/>
      <c r="D967" s="5"/>
      <c r="E967" s="5"/>
      <c r="F967" s="5"/>
      <c r="G967" s="5"/>
      <c r="H967" s="23"/>
      <c r="I967" s="23"/>
      <c r="J967" s="5"/>
      <c r="K967" s="31">
        <f t="shared" si="75"/>
      </c>
      <c r="L967" s="32">
        <f>IF($A967="","",C967*SUMIFS(Settings!$B$21:$B$25,Settings!$A$21:$A$25,SUMPRODUCT(MAX((Settings!$A$21:$A$25&lt;=$A967)*Settings!$A$21:$A$25)))+D967*SUMIFS(Settings!$C$21:$C$25,Settings!$A$21:$A$25,SUMPRODUCT(MAX((Settings!$A$21:$A$25&lt;=$A967)*Settings!$A$21:$A$25))))</f>
      </c>
      <c r="M967" s="32">
        <f>IF($A967="","",L967*IFERROR(INDEX(Settings!$B$30:$B$36,MATCH($B967,Settings!$A$30:$A$36,0)),0))</f>
      </c>
      <c r="N967" s="32">
        <f t="shared" si="76"/>
      </c>
      <c r="O967" s="33">
        <f t="shared" si="77"/>
      </c>
      <c r="P967" s="32">
        <f t="shared" si="78"/>
      </c>
      <c r="Q967" s="33">
        <f t="shared" si="79"/>
      </c>
    </row>
    <row r="968" spans="1:17" x14ac:dyDescent="0.25">
      <c r="A968" s="22"/>
      <c r="B968" s="5"/>
      <c r="C968" s="5"/>
      <c r="D968" s="5"/>
      <c r="E968" s="5"/>
      <c r="F968" s="5"/>
      <c r="G968" s="5"/>
      <c r="H968" s="23"/>
      <c r="I968" s="23"/>
      <c r="J968" s="5"/>
      <c r="K968" s="31">
        <f t="shared" si="75"/>
      </c>
      <c r="L968" s="32">
        <f>IF($A968="","",C968*SUMIFS(Settings!$B$21:$B$25,Settings!$A$21:$A$25,SUMPRODUCT(MAX((Settings!$A$21:$A$25&lt;=$A968)*Settings!$A$21:$A$25)))+D968*SUMIFS(Settings!$C$21:$C$25,Settings!$A$21:$A$25,SUMPRODUCT(MAX((Settings!$A$21:$A$25&lt;=$A968)*Settings!$A$21:$A$25))))</f>
      </c>
      <c r="M968" s="32">
        <f>IF($A968="","",L968*IFERROR(INDEX(Settings!$B$30:$B$36,MATCH($B968,Settings!$A$30:$A$36,0)),0))</f>
      </c>
      <c r="N968" s="32">
        <f t="shared" si="76"/>
      </c>
      <c r="O968" s="33">
        <f t="shared" si="77"/>
      </c>
      <c r="P968" s="32">
        <f t="shared" si="78"/>
      </c>
      <c r="Q968" s="33">
        <f t="shared" si="79"/>
      </c>
    </row>
    <row r="969" spans="1:17" x14ac:dyDescent="0.25">
      <c r="A969" s="22"/>
      <c r="B969" s="5"/>
      <c r="C969" s="5"/>
      <c r="D969" s="5"/>
      <c r="E969" s="5"/>
      <c r="F969" s="5"/>
      <c r="G969" s="5"/>
      <c r="H969" s="23"/>
      <c r="I969" s="23"/>
      <c r="J969" s="5"/>
      <c r="K969" s="31">
        <f t="shared" si="75"/>
      </c>
      <c r="L969" s="32">
        <f>IF($A969="","",C969*SUMIFS(Settings!$B$21:$B$25,Settings!$A$21:$A$25,SUMPRODUCT(MAX((Settings!$A$21:$A$25&lt;=$A969)*Settings!$A$21:$A$25)))+D969*SUMIFS(Settings!$C$21:$C$25,Settings!$A$21:$A$25,SUMPRODUCT(MAX((Settings!$A$21:$A$25&lt;=$A969)*Settings!$A$21:$A$25))))</f>
      </c>
      <c r="M969" s="32">
        <f>IF($A969="","",L969*IFERROR(INDEX(Settings!$B$30:$B$36,MATCH($B969,Settings!$A$30:$A$36,0)),0))</f>
      </c>
      <c r="N969" s="32">
        <f t="shared" si="76"/>
      </c>
      <c r="O969" s="33">
        <f t="shared" si="77"/>
      </c>
      <c r="P969" s="32">
        <f t="shared" si="78"/>
      </c>
      <c r="Q969" s="33">
        <f t="shared" si="79"/>
      </c>
    </row>
    <row r="970" spans="1:17" x14ac:dyDescent="0.25">
      <c r="A970" s="22"/>
      <c r="B970" s="5"/>
      <c r="C970" s="5"/>
      <c r="D970" s="5"/>
      <c r="E970" s="5"/>
      <c r="F970" s="5"/>
      <c r="G970" s="5"/>
      <c r="H970" s="23"/>
      <c r="I970" s="23"/>
      <c r="J970" s="5"/>
      <c r="K970" s="31">
        <f t="shared" si="75"/>
      </c>
      <c r="L970" s="32">
        <f>IF($A970="","",C970*SUMIFS(Settings!$B$21:$B$25,Settings!$A$21:$A$25,SUMPRODUCT(MAX((Settings!$A$21:$A$25&lt;=$A970)*Settings!$A$21:$A$25)))+D970*SUMIFS(Settings!$C$21:$C$25,Settings!$A$21:$A$25,SUMPRODUCT(MAX((Settings!$A$21:$A$25&lt;=$A970)*Settings!$A$21:$A$25))))</f>
      </c>
      <c r="M970" s="32">
        <f>IF($A970="","",L970*IFERROR(INDEX(Settings!$B$30:$B$36,MATCH($B970,Settings!$A$30:$A$36,0)),0))</f>
      </c>
      <c r="N970" s="32">
        <f t="shared" si="76"/>
      </c>
      <c r="O970" s="33">
        <f t="shared" si="77"/>
      </c>
      <c r="P970" s="32">
        <f t="shared" si="78"/>
      </c>
      <c r="Q970" s="33">
        <f t="shared" si="79"/>
      </c>
    </row>
    <row r="971" spans="1:17" x14ac:dyDescent="0.25">
      <c r="A971" s="22"/>
      <c r="B971" s="5"/>
      <c r="C971" s="5"/>
      <c r="D971" s="5"/>
      <c r="E971" s="5"/>
      <c r="F971" s="5"/>
      <c r="G971" s="5"/>
      <c r="H971" s="23"/>
      <c r="I971" s="23"/>
      <c r="J971" s="5"/>
      <c r="K971" s="31">
        <f t="shared" si="75"/>
      </c>
      <c r="L971" s="32">
        <f>IF($A971="","",C971*SUMIFS(Settings!$B$21:$B$25,Settings!$A$21:$A$25,SUMPRODUCT(MAX((Settings!$A$21:$A$25&lt;=$A971)*Settings!$A$21:$A$25)))+D971*SUMIFS(Settings!$C$21:$C$25,Settings!$A$21:$A$25,SUMPRODUCT(MAX((Settings!$A$21:$A$25&lt;=$A971)*Settings!$A$21:$A$25))))</f>
      </c>
      <c r="M971" s="32">
        <f>IF($A971="","",L971*IFERROR(INDEX(Settings!$B$30:$B$36,MATCH($B971,Settings!$A$30:$A$36,0)),0))</f>
      </c>
      <c r="N971" s="32">
        <f t="shared" si="76"/>
      </c>
      <c r="O971" s="33">
        <f t="shared" si="77"/>
      </c>
      <c r="P971" s="32">
        <f t="shared" si="78"/>
      </c>
      <c r="Q971" s="33">
        <f t="shared" si="79"/>
      </c>
    </row>
    <row r="972" spans="1:17" x14ac:dyDescent="0.25">
      <c r="A972" s="22"/>
      <c r="B972" s="5"/>
      <c r="C972" s="5"/>
      <c r="D972" s="5"/>
      <c r="E972" s="5"/>
      <c r="F972" s="5"/>
      <c r="G972" s="5"/>
      <c r="H972" s="23"/>
      <c r="I972" s="23"/>
      <c r="J972" s="5"/>
      <c r="K972" s="31">
        <f t="shared" si="75"/>
      </c>
      <c r="L972" s="32">
        <f>IF($A972="","",C972*SUMIFS(Settings!$B$21:$B$25,Settings!$A$21:$A$25,SUMPRODUCT(MAX((Settings!$A$21:$A$25&lt;=$A972)*Settings!$A$21:$A$25)))+D972*SUMIFS(Settings!$C$21:$C$25,Settings!$A$21:$A$25,SUMPRODUCT(MAX((Settings!$A$21:$A$25&lt;=$A972)*Settings!$A$21:$A$25))))</f>
      </c>
      <c r="M972" s="32">
        <f>IF($A972="","",L972*IFERROR(INDEX(Settings!$B$30:$B$36,MATCH($B972,Settings!$A$30:$A$36,0)),0))</f>
      </c>
      <c r="N972" s="32">
        <f t="shared" si="76"/>
      </c>
      <c r="O972" s="33">
        <f t="shared" si="77"/>
      </c>
      <c r="P972" s="32">
        <f t="shared" si="78"/>
      </c>
      <c r="Q972" s="33">
        <f t="shared" si="79"/>
      </c>
    </row>
    <row r="973" spans="1:17" x14ac:dyDescent="0.25">
      <c r="A973" s="22"/>
      <c r="B973" s="5"/>
      <c r="C973" s="5"/>
      <c r="D973" s="5"/>
      <c r="E973" s="5"/>
      <c r="F973" s="5"/>
      <c r="G973" s="5"/>
      <c r="H973" s="23"/>
      <c r="I973" s="23"/>
      <c r="J973" s="5"/>
      <c r="K973" s="31">
        <f t="shared" si="75"/>
      </c>
      <c r="L973" s="32">
        <f>IF($A973="","",C973*SUMIFS(Settings!$B$21:$B$25,Settings!$A$21:$A$25,SUMPRODUCT(MAX((Settings!$A$21:$A$25&lt;=$A973)*Settings!$A$21:$A$25)))+D973*SUMIFS(Settings!$C$21:$C$25,Settings!$A$21:$A$25,SUMPRODUCT(MAX((Settings!$A$21:$A$25&lt;=$A973)*Settings!$A$21:$A$25))))</f>
      </c>
      <c r="M973" s="32">
        <f>IF($A973="","",L973*IFERROR(INDEX(Settings!$B$30:$B$36,MATCH($B973,Settings!$A$30:$A$36,0)),0))</f>
      </c>
      <c r="N973" s="32">
        <f t="shared" si="76"/>
      </c>
      <c r="O973" s="33">
        <f t="shared" si="77"/>
      </c>
      <c r="P973" s="32">
        <f t="shared" si="78"/>
      </c>
      <c r="Q973" s="33">
        <f t="shared" si="79"/>
      </c>
    </row>
    <row r="974" spans="1:17" x14ac:dyDescent="0.25">
      <c r="A974" s="22"/>
      <c r="B974" s="5"/>
      <c r="C974" s="5"/>
      <c r="D974" s="5"/>
      <c r="E974" s="5"/>
      <c r="F974" s="5"/>
      <c r="G974" s="5"/>
      <c r="H974" s="23"/>
      <c r="I974" s="23"/>
      <c r="J974" s="5"/>
      <c r="K974" s="31">
        <f t="shared" si="75"/>
      </c>
      <c r="L974" s="32">
        <f>IF($A974="","",C974*SUMIFS(Settings!$B$21:$B$25,Settings!$A$21:$A$25,SUMPRODUCT(MAX((Settings!$A$21:$A$25&lt;=$A974)*Settings!$A$21:$A$25)))+D974*SUMIFS(Settings!$C$21:$C$25,Settings!$A$21:$A$25,SUMPRODUCT(MAX((Settings!$A$21:$A$25&lt;=$A974)*Settings!$A$21:$A$25))))</f>
      </c>
      <c r="M974" s="32">
        <f>IF($A974="","",L974*IFERROR(INDEX(Settings!$B$30:$B$36,MATCH($B974,Settings!$A$30:$A$36,0)),0))</f>
      </c>
      <c r="N974" s="32">
        <f t="shared" si="76"/>
      </c>
      <c r="O974" s="33">
        <f t="shared" si="77"/>
      </c>
      <c r="P974" s="32">
        <f t="shared" si="78"/>
      </c>
      <c r="Q974" s="33">
        <f t="shared" si="79"/>
      </c>
    </row>
    <row r="975" spans="1:17" x14ac:dyDescent="0.25">
      <c r="A975" s="22"/>
      <c r="B975" s="5"/>
      <c r="C975" s="5"/>
      <c r="D975" s="5"/>
      <c r="E975" s="5"/>
      <c r="F975" s="5"/>
      <c r="G975" s="5"/>
      <c r="H975" s="23"/>
      <c r="I975" s="23"/>
      <c r="J975" s="5"/>
      <c r="K975" s="31">
        <f t="shared" si="75"/>
      </c>
      <c r="L975" s="32">
        <f>IF($A975="","",C975*SUMIFS(Settings!$B$21:$B$25,Settings!$A$21:$A$25,SUMPRODUCT(MAX((Settings!$A$21:$A$25&lt;=$A975)*Settings!$A$21:$A$25)))+D975*SUMIFS(Settings!$C$21:$C$25,Settings!$A$21:$A$25,SUMPRODUCT(MAX((Settings!$A$21:$A$25&lt;=$A975)*Settings!$A$21:$A$25))))</f>
      </c>
      <c r="M975" s="32">
        <f>IF($A975="","",L975*IFERROR(INDEX(Settings!$B$30:$B$36,MATCH($B975,Settings!$A$30:$A$36,0)),0))</f>
      </c>
      <c r="N975" s="32">
        <f t="shared" si="76"/>
      </c>
      <c r="O975" s="33">
        <f t="shared" si="77"/>
      </c>
      <c r="P975" s="32">
        <f t="shared" si="78"/>
      </c>
      <c r="Q975" s="33">
        <f t="shared" si="79"/>
      </c>
    </row>
    <row r="976" spans="1:17" x14ac:dyDescent="0.25">
      <c r="A976" s="22"/>
      <c r="B976" s="5"/>
      <c r="C976" s="5"/>
      <c r="D976" s="5"/>
      <c r="E976" s="5"/>
      <c r="F976" s="5"/>
      <c r="G976" s="5"/>
      <c r="H976" s="23"/>
      <c r="I976" s="23"/>
      <c r="J976" s="5"/>
      <c r="K976" s="31">
        <f t="shared" si="75"/>
      </c>
      <c r="L976" s="32">
        <f>IF($A976="","",C976*SUMIFS(Settings!$B$21:$B$25,Settings!$A$21:$A$25,SUMPRODUCT(MAX((Settings!$A$21:$A$25&lt;=$A976)*Settings!$A$21:$A$25)))+D976*SUMIFS(Settings!$C$21:$C$25,Settings!$A$21:$A$25,SUMPRODUCT(MAX((Settings!$A$21:$A$25&lt;=$A976)*Settings!$A$21:$A$25))))</f>
      </c>
      <c r="M976" s="32">
        <f>IF($A976="","",L976*IFERROR(INDEX(Settings!$B$30:$B$36,MATCH($B976,Settings!$A$30:$A$36,0)),0))</f>
      </c>
      <c r="N976" s="32">
        <f t="shared" si="76"/>
      </c>
      <c r="O976" s="33">
        <f t="shared" si="77"/>
      </c>
      <c r="P976" s="32">
        <f t="shared" si="78"/>
      </c>
      <c r="Q976" s="33">
        <f t="shared" si="79"/>
      </c>
    </row>
    <row r="977" spans="1:17" x14ac:dyDescent="0.25">
      <c r="A977" s="22"/>
      <c r="B977" s="5"/>
      <c r="C977" s="5"/>
      <c r="D977" s="5"/>
      <c r="E977" s="5"/>
      <c r="F977" s="5"/>
      <c r="G977" s="5"/>
      <c r="H977" s="23"/>
      <c r="I977" s="23"/>
      <c r="J977" s="5"/>
      <c r="K977" s="31">
        <f t="shared" si="75"/>
      </c>
      <c r="L977" s="32">
        <f>IF($A977="","",C977*SUMIFS(Settings!$B$21:$B$25,Settings!$A$21:$A$25,SUMPRODUCT(MAX((Settings!$A$21:$A$25&lt;=$A977)*Settings!$A$21:$A$25)))+D977*SUMIFS(Settings!$C$21:$C$25,Settings!$A$21:$A$25,SUMPRODUCT(MAX((Settings!$A$21:$A$25&lt;=$A977)*Settings!$A$21:$A$25))))</f>
      </c>
      <c r="M977" s="32">
        <f>IF($A977="","",L977*IFERROR(INDEX(Settings!$B$30:$B$36,MATCH($B977,Settings!$A$30:$A$36,0)),0))</f>
      </c>
      <c r="N977" s="32">
        <f t="shared" si="76"/>
      </c>
      <c r="O977" s="33">
        <f t="shared" si="77"/>
      </c>
      <c r="P977" s="32">
        <f t="shared" si="78"/>
      </c>
      <c r="Q977" s="33">
        <f t="shared" si="79"/>
      </c>
    </row>
    <row r="978" spans="1:17" x14ac:dyDescent="0.25">
      <c r="A978" s="22"/>
      <c r="B978" s="5"/>
      <c r="C978" s="5"/>
      <c r="D978" s="5"/>
      <c r="E978" s="5"/>
      <c r="F978" s="5"/>
      <c r="G978" s="5"/>
      <c r="H978" s="23"/>
      <c r="I978" s="23"/>
      <c r="J978" s="5"/>
      <c r="K978" s="31">
        <f t="shared" si="75"/>
      </c>
      <c r="L978" s="32">
        <f>IF($A978="","",C978*SUMIFS(Settings!$B$21:$B$25,Settings!$A$21:$A$25,SUMPRODUCT(MAX((Settings!$A$21:$A$25&lt;=$A978)*Settings!$A$21:$A$25)))+D978*SUMIFS(Settings!$C$21:$C$25,Settings!$A$21:$A$25,SUMPRODUCT(MAX((Settings!$A$21:$A$25&lt;=$A978)*Settings!$A$21:$A$25))))</f>
      </c>
      <c r="M978" s="32">
        <f>IF($A978="","",L978*IFERROR(INDEX(Settings!$B$30:$B$36,MATCH($B978,Settings!$A$30:$A$36,0)),0))</f>
      </c>
      <c r="N978" s="32">
        <f t="shared" si="76"/>
      </c>
      <c r="O978" s="33">
        <f t="shared" si="77"/>
      </c>
      <c r="P978" s="32">
        <f t="shared" si="78"/>
      </c>
      <c r="Q978" s="33">
        <f t="shared" si="79"/>
      </c>
    </row>
    <row r="979" spans="1:17" x14ac:dyDescent="0.25">
      <c r="A979" s="22"/>
      <c r="B979" s="5"/>
      <c r="C979" s="5"/>
      <c r="D979" s="5"/>
      <c r="E979" s="5"/>
      <c r="F979" s="5"/>
      <c r="G979" s="5"/>
      <c r="H979" s="23"/>
      <c r="I979" s="23"/>
      <c r="J979" s="5"/>
      <c r="K979" s="31">
        <f t="shared" si="75"/>
      </c>
      <c r="L979" s="32">
        <f>IF($A979="","",C979*SUMIFS(Settings!$B$21:$B$25,Settings!$A$21:$A$25,SUMPRODUCT(MAX((Settings!$A$21:$A$25&lt;=$A979)*Settings!$A$21:$A$25)))+D979*SUMIFS(Settings!$C$21:$C$25,Settings!$A$21:$A$25,SUMPRODUCT(MAX((Settings!$A$21:$A$25&lt;=$A979)*Settings!$A$21:$A$25))))</f>
      </c>
      <c r="M979" s="32">
        <f>IF($A979="","",L979*IFERROR(INDEX(Settings!$B$30:$B$36,MATCH($B979,Settings!$A$30:$A$36,0)),0))</f>
      </c>
      <c r="N979" s="32">
        <f t="shared" si="76"/>
      </c>
      <c r="O979" s="33">
        <f t="shared" si="77"/>
      </c>
      <c r="P979" s="32">
        <f t="shared" si="78"/>
      </c>
      <c r="Q979" s="33">
        <f t="shared" si="79"/>
      </c>
    </row>
    <row r="980" spans="1:17" x14ac:dyDescent="0.25">
      <c r="A980" s="22"/>
      <c r="B980" s="5"/>
      <c r="C980" s="5"/>
      <c r="D980" s="5"/>
      <c r="E980" s="5"/>
      <c r="F980" s="5"/>
      <c r="G980" s="5"/>
      <c r="H980" s="23"/>
      <c r="I980" s="23"/>
      <c r="J980" s="5"/>
      <c r="K980" s="31">
        <f t="shared" si="75"/>
      </c>
      <c r="L980" s="32">
        <f>IF($A980="","",C980*SUMIFS(Settings!$B$21:$B$25,Settings!$A$21:$A$25,SUMPRODUCT(MAX((Settings!$A$21:$A$25&lt;=$A980)*Settings!$A$21:$A$25)))+D980*SUMIFS(Settings!$C$21:$C$25,Settings!$A$21:$A$25,SUMPRODUCT(MAX((Settings!$A$21:$A$25&lt;=$A980)*Settings!$A$21:$A$25))))</f>
      </c>
      <c r="M980" s="32">
        <f>IF($A980="","",L980*IFERROR(INDEX(Settings!$B$30:$B$36,MATCH($B980,Settings!$A$30:$A$36,0)),0))</f>
      </c>
      <c r="N980" s="32">
        <f t="shared" si="76"/>
      </c>
      <c r="O980" s="33">
        <f t="shared" si="77"/>
      </c>
      <c r="P980" s="32">
        <f t="shared" si="78"/>
      </c>
      <c r="Q980" s="33">
        <f t="shared" si="79"/>
      </c>
    </row>
    <row r="981" spans="1:17" x14ac:dyDescent="0.25">
      <c r="A981" s="22"/>
      <c r="B981" s="5"/>
      <c r="C981" s="5"/>
      <c r="D981" s="5"/>
      <c r="E981" s="5"/>
      <c r="F981" s="5"/>
      <c r="G981" s="5"/>
      <c r="H981" s="23"/>
      <c r="I981" s="23"/>
      <c r="J981" s="5"/>
      <c r="K981" s="31">
        <f t="shared" si="75"/>
      </c>
      <c r="L981" s="32">
        <f>IF($A981="","",C981*SUMIFS(Settings!$B$21:$B$25,Settings!$A$21:$A$25,SUMPRODUCT(MAX((Settings!$A$21:$A$25&lt;=$A981)*Settings!$A$21:$A$25)))+D981*SUMIFS(Settings!$C$21:$C$25,Settings!$A$21:$A$25,SUMPRODUCT(MAX((Settings!$A$21:$A$25&lt;=$A981)*Settings!$A$21:$A$25))))</f>
      </c>
      <c r="M981" s="32">
        <f>IF($A981="","",L981*IFERROR(INDEX(Settings!$B$30:$B$36,MATCH($B981,Settings!$A$30:$A$36,0)),0))</f>
      </c>
      <c r="N981" s="32">
        <f t="shared" si="76"/>
      </c>
      <c r="O981" s="33">
        <f t="shared" si="77"/>
      </c>
      <c r="P981" s="32">
        <f t="shared" si="78"/>
      </c>
      <c r="Q981" s="33">
        <f t="shared" si="79"/>
      </c>
    </row>
    <row r="982" spans="1:17" x14ac:dyDescent="0.25">
      <c r="A982" s="22"/>
      <c r="B982" s="5"/>
      <c r="C982" s="5"/>
      <c r="D982" s="5"/>
      <c r="E982" s="5"/>
      <c r="F982" s="5"/>
      <c r="G982" s="5"/>
      <c r="H982" s="23"/>
      <c r="I982" s="23"/>
      <c r="J982" s="5"/>
      <c r="K982" s="31">
        <f t="shared" si="75"/>
      </c>
      <c r="L982" s="32">
        <f>IF($A982="","",C982*SUMIFS(Settings!$B$21:$B$25,Settings!$A$21:$A$25,SUMPRODUCT(MAX((Settings!$A$21:$A$25&lt;=$A982)*Settings!$A$21:$A$25)))+D982*SUMIFS(Settings!$C$21:$C$25,Settings!$A$21:$A$25,SUMPRODUCT(MAX((Settings!$A$21:$A$25&lt;=$A982)*Settings!$A$21:$A$25))))</f>
      </c>
      <c r="M982" s="32">
        <f>IF($A982="","",L982*IFERROR(INDEX(Settings!$B$30:$B$36,MATCH($B982,Settings!$A$30:$A$36,0)),0))</f>
      </c>
      <c r="N982" s="32">
        <f t="shared" si="76"/>
      </c>
      <c r="O982" s="33">
        <f t="shared" si="77"/>
      </c>
      <c r="P982" s="32">
        <f t="shared" si="78"/>
      </c>
      <c r="Q982" s="33">
        <f t="shared" si="79"/>
      </c>
    </row>
    <row r="983" spans="1:17" x14ac:dyDescent="0.25">
      <c r="A983" s="22"/>
      <c r="B983" s="5"/>
      <c r="C983" s="5"/>
      <c r="D983" s="5"/>
      <c r="E983" s="5"/>
      <c r="F983" s="5"/>
      <c r="G983" s="5"/>
      <c r="H983" s="23"/>
      <c r="I983" s="23"/>
      <c r="J983" s="5"/>
      <c r="K983" s="31">
        <f t="shared" si="75"/>
      </c>
      <c r="L983" s="32">
        <f>IF($A983="","",C983*SUMIFS(Settings!$B$21:$B$25,Settings!$A$21:$A$25,SUMPRODUCT(MAX((Settings!$A$21:$A$25&lt;=$A983)*Settings!$A$21:$A$25)))+D983*SUMIFS(Settings!$C$21:$C$25,Settings!$A$21:$A$25,SUMPRODUCT(MAX((Settings!$A$21:$A$25&lt;=$A983)*Settings!$A$21:$A$25))))</f>
      </c>
      <c r="M983" s="32">
        <f>IF($A983="","",L983*IFERROR(INDEX(Settings!$B$30:$B$36,MATCH($B983,Settings!$A$30:$A$36,0)),0))</f>
      </c>
      <c r="N983" s="32">
        <f t="shared" si="76"/>
      </c>
      <c r="O983" s="33">
        <f t="shared" si="77"/>
      </c>
      <c r="P983" s="32">
        <f t="shared" si="78"/>
      </c>
      <c r="Q983" s="33">
        <f t="shared" si="79"/>
      </c>
    </row>
    <row r="984" spans="1:17" x14ac:dyDescent="0.25">
      <c r="A984" s="22"/>
      <c r="B984" s="5"/>
      <c r="C984" s="5"/>
      <c r="D984" s="5"/>
      <c r="E984" s="5"/>
      <c r="F984" s="5"/>
      <c r="G984" s="5"/>
      <c r="H984" s="23"/>
      <c r="I984" s="23"/>
      <c r="J984" s="5"/>
      <c r="K984" s="31">
        <f t="shared" si="75"/>
      </c>
      <c r="L984" s="32">
        <f>IF($A984="","",C984*SUMIFS(Settings!$B$21:$B$25,Settings!$A$21:$A$25,SUMPRODUCT(MAX((Settings!$A$21:$A$25&lt;=$A984)*Settings!$A$21:$A$25)))+D984*SUMIFS(Settings!$C$21:$C$25,Settings!$A$21:$A$25,SUMPRODUCT(MAX((Settings!$A$21:$A$25&lt;=$A984)*Settings!$A$21:$A$25))))</f>
      </c>
      <c r="M984" s="32">
        <f>IF($A984="","",L984*IFERROR(INDEX(Settings!$B$30:$B$36,MATCH($B984,Settings!$A$30:$A$36,0)),0))</f>
      </c>
      <c r="N984" s="32">
        <f t="shared" si="76"/>
      </c>
      <c r="O984" s="33">
        <f t="shared" si="77"/>
      </c>
      <c r="P984" s="32">
        <f t="shared" si="78"/>
      </c>
      <c r="Q984" s="33">
        <f t="shared" si="79"/>
      </c>
    </row>
    <row r="985" spans="1:17" x14ac:dyDescent="0.25">
      <c r="A985" s="22"/>
      <c r="B985" s="5"/>
      <c r="C985" s="5"/>
      <c r="D985" s="5"/>
      <c r="E985" s="5"/>
      <c r="F985" s="5"/>
      <c r="G985" s="5"/>
      <c r="H985" s="23"/>
      <c r="I985" s="23"/>
      <c r="J985" s="5"/>
      <c r="K985" s="31">
        <f t="shared" si="75"/>
      </c>
      <c r="L985" s="32">
        <f>IF($A985="","",C985*SUMIFS(Settings!$B$21:$B$25,Settings!$A$21:$A$25,SUMPRODUCT(MAX((Settings!$A$21:$A$25&lt;=$A985)*Settings!$A$21:$A$25)))+D985*SUMIFS(Settings!$C$21:$C$25,Settings!$A$21:$A$25,SUMPRODUCT(MAX((Settings!$A$21:$A$25&lt;=$A985)*Settings!$A$21:$A$25))))</f>
      </c>
      <c r="M985" s="32">
        <f>IF($A985="","",L985*IFERROR(INDEX(Settings!$B$30:$B$36,MATCH($B985,Settings!$A$30:$A$36,0)),0))</f>
      </c>
      <c r="N985" s="32">
        <f t="shared" si="76"/>
      </c>
      <c r="O985" s="33">
        <f t="shared" si="77"/>
      </c>
      <c r="P985" s="32">
        <f t="shared" si="78"/>
      </c>
      <c r="Q985" s="33">
        <f t="shared" si="79"/>
      </c>
    </row>
    <row r="986" spans="1:17" x14ac:dyDescent="0.25">
      <c r="A986" s="22"/>
      <c r="B986" s="5"/>
      <c r="C986" s="5"/>
      <c r="D986" s="5"/>
      <c r="E986" s="5"/>
      <c r="F986" s="5"/>
      <c r="G986" s="5"/>
      <c r="H986" s="23"/>
      <c r="I986" s="23"/>
      <c r="J986" s="5"/>
      <c r="K986" s="31">
        <f t="shared" si="75"/>
      </c>
      <c r="L986" s="32">
        <f>IF($A986="","",C986*SUMIFS(Settings!$B$21:$B$25,Settings!$A$21:$A$25,SUMPRODUCT(MAX((Settings!$A$21:$A$25&lt;=$A986)*Settings!$A$21:$A$25)))+D986*SUMIFS(Settings!$C$21:$C$25,Settings!$A$21:$A$25,SUMPRODUCT(MAX((Settings!$A$21:$A$25&lt;=$A986)*Settings!$A$21:$A$25))))</f>
      </c>
      <c r="M986" s="32">
        <f>IF($A986="","",L986*IFERROR(INDEX(Settings!$B$30:$B$36,MATCH($B986,Settings!$A$30:$A$36,0)),0))</f>
      </c>
      <c r="N986" s="32">
        <f t="shared" si="76"/>
      </c>
      <c r="O986" s="33">
        <f t="shared" si="77"/>
      </c>
      <c r="P986" s="32">
        <f t="shared" si="78"/>
      </c>
      <c r="Q986" s="33">
        <f t="shared" si="79"/>
      </c>
    </row>
    <row r="987" spans="1:17" x14ac:dyDescent="0.25">
      <c r="A987" s="22"/>
      <c r="B987" s="5"/>
      <c r="C987" s="5"/>
      <c r="D987" s="5"/>
      <c r="E987" s="5"/>
      <c r="F987" s="5"/>
      <c r="G987" s="5"/>
      <c r="H987" s="23"/>
      <c r="I987" s="23"/>
      <c r="J987" s="5"/>
      <c r="K987" s="31">
        <f t="shared" si="75"/>
      </c>
      <c r="L987" s="32">
        <f>IF($A987="","",C987*SUMIFS(Settings!$B$21:$B$25,Settings!$A$21:$A$25,SUMPRODUCT(MAX((Settings!$A$21:$A$25&lt;=$A987)*Settings!$A$21:$A$25)))+D987*SUMIFS(Settings!$C$21:$C$25,Settings!$A$21:$A$25,SUMPRODUCT(MAX((Settings!$A$21:$A$25&lt;=$A987)*Settings!$A$21:$A$25))))</f>
      </c>
      <c r="M987" s="32">
        <f>IF($A987="","",L987*IFERROR(INDEX(Settings!$B$30:$B$36,MATCH($B987,Settings!$A$30:$A$36,0)),0))</f>
      </c>
      <c r="N987" s="32">
        <f t="shared" si="76"/>
      </c>
      <c r="O987" s="33">
        <f t="shared" si="77"/>
      </c>
      <c r="P987" s="32">
        <f t="shared" si="78"/>
      </c>
      <c r="Q987" s="33">
        <f t="shared" si="79"/>
      </c>
    </row>
    <row r="988" spans="1:17" x14ac:dyDescent="0.25">
      <c r="A988" s="22"/>
      <c r="B988" s="5"/>
      <c r="C988" s="5"/>
      <c r="D988" s="5"/>
      <c r="E988" s="5"/>
      <c r="F988" s="5"/>
      <c r="G988" s="5"/>
      <c r="H988" s="23"/>
      <c r="I988" s="23"/>
      <c r="J988" s="5"/>
      <c r="K988" s="31">
        <f t="shared" si="75"/>
      </c>
      <c r="L988" s="32">
        <f>IF($A988="","",C988*SUMIFS(Settings!$B$21:$B$25,Settings!$A$21:$A$25,SUMPRODUCT(MAX((Settings!$A$21:$A$25&lt;=$A988)*Settings!$A$21:$A$25)))+D988*SUMIFS(Settings!$C$21:$C$25,Settings!$A$21:$A$25,SUMPRODUCT(MAX((Settings!$A$21:$A$25&lt;=$A988)*Settings!$A$21:$A$25))))</f>
      </c>
      <c r="M988" s="32">
        <f>IF($A988="","",L988*IFERROR(INDEX(Settings!$B$30:$B$36,MATCH($B988,Settings!$A$30:$A$36,0)),0))</f>
      </c>
      <c r="N988" s="32">
        <f t="shared" si="76"/>
      </c>
      <c r="O988" s="33">
        <f t="shared" si="77"/>
      </c>
      <c r="P988" s="32">
        <f t="shared" si="78"/>
      </c>
      <c r="Q988" s="33">
        <f t="shared" si="79"/>
      </c>
    </row>
    <row r="989" spans="1:17" x14ac:dyDescent="0.25">
      <c r="A989" s="22"/>
      <c r="B989" s="5"/>
      <c r="C989" s="5"/>
      <c r="D989" s="5"/>
      <c r="E989" s="5"/>
      <c r="F989" s="5"/>
      <c r="G989" s="5"/>
      <c r="H989" s="23"/>
      <c r="I989" s="23"/>
      <c r="J989" s="5"/>
      <c r="K989" s="31">
        <f t="shared" si="75"/>
      </c>
      <c r="L989" s="32">
        <f>IF($A989="","",C989*SUMIFS(Settings!$B$21:$B$25,Settings!$A$21:$A$25,SUMPRODUCT(MAX((Settings!$A$21:$A$25&lt;=$A989)*Settings!$A$21:$A$25)))+D989*SUMIFS(Settings!$C$21:$C$25,Settings!$A$21:$A$25,SUMPRODUCT(MAX((Settings!$A$21:$A$25&lt;=$A989)*Settings!$A$21:$A$25))))</f>
      </c>
      <c r="M989" s="32">
        <f>IF($A989="","",L989*IFERROR(INDEX(Settings!$B$30:$B$36,MATCH($B989,Settings!$A$30:$A$36,0)),0))</f>
      </c>
      <c r="N989" s="32">
        <f t="shared" si="76"/>
      </c>
      <c r="O989" s="33">
        <f t="shared" si="77"/>
      </c>
      <c r="P989" s="32">
        <f t="shared" si="78"/>
      </c>
      <c r="Q989" s="33">
        <f t="shared" si="79"/>
      </c>
    </row>
    <row r="990" spans="1:17" x14ac:dyDescent="0.25">
      <c r="A990" s="22"/>
      <c r="B990" s="5"/>
      <c r="C990" s="5"/>
      <c r="D990" s="5"/>
      <c r="E990" s="5"/>
      <c r="F990" s="5"/>
      <c r="G990" s="5"/>
      <c r="H990" s="23"/>
      <c r="I990" s="23"/>
      <c r="J990" s="5"/>
      <c r="K990" s="31">
        <f t="shared" si="75"/>
      </c>
      <c r="L990" s="32">
        <f>IF($A990="","",C990*SUMIFS(Settings!$B$21:$B$25,Settings!$A$21:$A$25,SUMPRODUCT(MAX((Settings!$A$21:$A$25&lt;=$A990)*Settings!$A$21:$A$25)))+D990*SUMIFS(Settings!$C$21:$C$25,Settings!$A$21:$A$25,SUMPRODUCT(MAX((Settings!$A$21:$A$25&lt;=$A990)*Settings!$A$21:$A$25))))</f>
      </c>
      <c r="M990" s="32">
        <f>IF($A990="","",L990*IFERROR(INDEX(Settings!$B$30:$B$36,MATCH($B990,Settings!$A$30:$A$36,0)),0))</f>
      </c>
      <c r="N990" s="32">
        <f t="shared" si="76"/>
      </c>
      <c r="O990" s="33">
        <f t="shared" si="77"/>
      </c>
      <c r="P990" s="32">
        <f t="shared" si="78"/>
      </c>
      <c r="Q990" s="33">
        <f t="shared" si="79"/>
      </c>
    </row>
    <row r="991" spans="1:17" x14ac:dyDescent="0.25">
      <c r="A991" s="22"/>
      <c r="B991" s="5"/>
      <c r="C991" s="5"/>
      <c r="D991" s="5"/>
      <c r="E991" s="5"/>
      <c r="F991" s="5"/>
      <c r="G991" s="5"/>
      <c r="H991" s="23"/>
      <c r="I991" s="23"/>
      <c r="J991" s="5"/>
      <c r="K991" s="31">
        <f t="shared" si="75"/>
      </c>
      <c r="L991" s="32">
        <f>IF($A991="","",C991*SUMIFS(Settings!$B$21:$B$25,Settings!$A$21:$A$25,SUMPRODUCT(MAX((Settings!$A$21:$A$25&lt;=$A991)*Settings!$A$21:$A$25)))+D991*SUMIFS(Settings!$C$21:$C$25,Settings!$A$21:$A$25,SUMPRODUCT(MAX((Settings!$A$21:$A$25&lt;=$A991)*Settings!$A$21:$A$25))))</f>
      </c>
      <c r="M991" s="32">
        <f>IF($A991="","",L991*IFERROR(INDEX(Settings!$B$30:$B$36,MATCH($B991,Settings!$A$30:$A$36,0)),0))</f>
      </c>
      <c r="N991" s="32">
        <f t="shared" si="76"/>
      </c>
      <c r="O991" s="33">
        <f t="shared" si="77"/>
      </c>
      <c r="P991" s="32">
        <f t="shared" si="78"/>
      </c>
      <c r="Q991" s="33">
        <f t="shared" si="79"/>
      </c>
    </row>
    <row r="992" spans="1:17" x14ac:dyDescent="0.25">
      <c r="A992" s="22"/>
      <c r="B992" s="5"/>
      <c r="C992" s="5"/>
      <c r="D992" s="5"/>
      <c r="E992" s="5"/>
      <c r="F992" s="5"/>
      <c r="G992" s="5"/>
      <c r="H992" s="23"/>
      <c r="I992" s="23"/>
      <c r="J992" s="5"/>
      <c r="K992" s="31">
        <f t="shared" si="75"/>
      </c>
      <c r="L992" s="32">
        <f>IF($A992="","",C992*SUMIFS(Settings!$B$21:$B$25,Settings!$A$21:$A$25,SUMPRODUCT(MAX((Settings!$A$21:$A$25&lt;=$A992)*Settings!$A$21:$A$25)))+D992*SUMIFS(Settings!$C$21:$C$25,Settings!$A$21:$A$25,SUMPRODUCT(MAX((Settings!$A$21:$A$25&lt;=$A992)*Settings!$A$21:$A$25))))</f>
      </c>
      <c r="M992" s="32">
        <f>IF($A992="","",L992*IFERROR(INDEX(Settings!$B$30:$B$36,MATCH($B992,Settings!$A$30:$A$36,0)),0))</f>
      </c>
      <c r="N992" s="32">
        <f t="shared" si="76"/>
      </c>
      <c r="O992" s="33">
        <f t="shared" si="77"/>
      </c>
      <c r="P992" s="32">
        <f t="shared" si="78"/>
      </c>
      <c r="Q992" s="33">
        <f t="shared" si="79"/>
      </c>
    </row>
    <row r="993" spans="1:17" x14ac:dyDescent="0.25">
      <c r="A993" s="22"/>
      <c r="B993" s="5"/>
      <c r="C993" s="5"/>
      <c r="D993" s="5"/>
      <c r="E993" s="5"/>
      <c r="F993" s="5"/>
      <c r="G993" s="5"/>
      <c r="H993" s="23"/>
      <c r="I993" s="23"/>
      <c r="J993" s="5"/>
      <c r="K993" s="31">
        <f t="shared" si="75"/>
      </c>
      <c r="L993" s="32">
        <f>IF($A993="","",C993*SUMIFS(Settings!$B$21:$B$25,Settings!$A$21:$A$25,SUMPRODUCT(MAX((Settings!$A$21:$A$25&lt;=$A993)*Settings!$A$21:$A$25)))+D993*SUMIFS(Settings!$C$21:$C$25,Settings!$A$21:$A$25,SUMPRODUCT(MAX((Settings!$A$21:$A$25&lt;=$A993)*Settings!$A$21:$A$25))))</f>
      </c>
      <c r="M993" s="32">
        <f>IF($A993="","",L993*IFERROR(INDEX(Settings!$B$30:$B$36,MATCH($B993,Settings!$A$30:$A$36,0)),0))</f>
      </c>
      <c r="N993" s="32">
        <f t="shared" si="76"/>
      </c>
      <c r="O993" s="33">
        <f t="shared" si="77"/>
      </c>
      <c r="P993" s="32">
        <f t="shared" si="78"/>
      </c>
      <c r="Q993" s="33">
        <f t="shared" si="79"/>
      </c>
    </row>
    <row r="994" spans="1:17" x14ac:dyDescent="0.25">
      <c r="A994" s="22"/>
      <c r="B994" s="5"/>
      <c r="C994" s="5"/>
      <c r="D994" s="5"/>
      <c r="E994" s="5"/>
      <c r="F994" s="5"/>
      <c r="G994" s="5"/>
      <c r="H994" s="23"/>
      <c r="I994" s="23"/>
      <c r="J994" s="5"/>
      <c r="K994" s="31">
        <f t="shared" si="75"/>
      </c>
      <c r="L994" s="32">
        <f>IF($A994="","",C994*SUMIFS(Settings!$B$21:$B$25,Settings!$A$21:$A$25,SUMPRODUCT(MAX((Settings!$A$21:$A$25&lt;=$A994)*Settings!$A$21:$A$25)))+D994*SUMIFS(Settings!$C$21:$C$25,Settings!$A$21:$A$25,SUMPRODUCT(MAX((Settings!$A$21:$A$25&lt;=$A994)*Settings!$A$21:$A$25))))</f>
      </c>
      <c r="M994" s="32">
        <f>IF($A994="","",L994*IFERROR(INDEX(Settings!$B$30:$B$36,MATCH($B994,Settings!$A$30:$A$36,0)),0))</f>
      </c>
      <c r="N994" s="32">
        <f t="shared" si="76"/>
      </c>
      <c r="O994" s="33">
        <f t="shared" si="77"/>
      </c>
      <c r="P994" s="32">
        <f t="shared" si="78"/>
      </c>
      <c r="Q994" s="33">
        <f t="shared" si="79"/>
      </c>
    </row>
    <row r="995" spans="1:17" x14ac:dyDescent="0.25">
      <c r="A995" s="22"/>
      <c r="B995" s="5"/>
      <c r="C995" s="5"/>
      <c r="D995" s="5"/>
      <c r="E995" s="5"/>
      <c r="F995" s="5"/>
      <c r="G995" s="5"/>
      <c r="H995" s="23"/>
      <c r="I995" s="23"/>
      <c r="J995" s="5"/>
      <c r="K995" s="31">
        <f t="shared" si="75"/>
      </c>
      <c r="L995" s="32">
        <f>IF($A995="","",C995*SUMIFS(Settings!$B$21:$B$25,Settings!$A$21:$A$25,SUMPRODUCT(MAX((Settings!$A$21:$A$25&lt;=$A995)*Settings!$A$21:$A$25)))+D995*SUMIFS(Settings!$C$21:$C$25,Settings!$A$21:$A$25,SUMPRODUCT(MAX((Settings!$A$21:$A$25&lt;=$A995)*Settings!$A$21:$A$25))))</f>
      </c>
      <c r="M995" s="32">
        <f>IF($A995="","",L995*IFERROR(INDEX(Settings!$B$30:$B$36,MATCH($B995,Settings!$A$30:$A$36,0)),0))</f>
      </c>
      <c r="N995" s="32">
        <f t="shared" si="76"/>
      </c>
      <c r="O995" s="33">
        <f t="shared" si="77"/>
      </c>
      <c r="P995" s="32">
        <f t="shared" si="78"/>
      </c>
      <c r="Q995" s="33">
        <f t="shared" si="79"/>
      </c>
    </row>
    <row r="996" spans="1:17" x14ac:dyDescent="0.25">
      <c r="A996" s="22"/>
      <c r="B996" s="5"/>
      <c r="C996" s="5"/>
      <c r="D996" s="5"/>
      <c r="E996" s="5"/>
      <c r="F996" s="5"/>
      <c r="G996" s="5"/>
      <c r="H996" s="23"/>
      <c r="I996" s="23"/>
      <c r="J996" s="5"/>
      <c r="K996" s="31">
        <f t="shared" si="75"/>
      </c>
      <c r="L996" s="32">
        <f>IF($A996="","",C996*SUMIFS(Settings!$B$21:$B$25,Settings!$A$21:$A$25,SUMPRODUCT(MAX((Settings!$A$21:$A$25&lt;=$A996)*Settings!$A$21:$A$25)))+D996*SUMIFS(Settings!$C$21:$C$25,Settings!$A$21:$A$25,SUMPRODUCT(MAX((Settings!$A$21:$A$25&lt;=$A996)*Settings!$A$21:$A$25))))</f>
      </c>
      <c r="M996" s="32">
        <f>IF($A996="","",L996*IFERROR(INDEX(Settings!$B$30:$B$36,MATCH($B996,Settings!$A$30:$A$36,0)),0))</f>
      </c>
      <c r="N996" s="32">
        <f t="shared" si="76"/>
      </c>
      <c r="O996" s="33">
        <f t="shared" si="77"/>
      </c>
      <c r="P996" s="32">
        <f t="shared" si="78"/>
      </c>
      <c r="Q996" s="33">
        <f t="shared" si="79"/>
      </c>
    </row>
    <row r="997" spans="1:17" x14ac:dyDescent="0.25">
      <c r="A997" s="22"/>
      <c r="B997" s="5"/>
      <c r="C997" s="5"/>
      <c r="D997" s="5"/>
      <c r="E997" s="5"/>
      <c r="F997" s="5"/>
      <c r="G997" s="5"/>
      <c r="H997" s="23"/>
      <c r="I997" s="23"/>
      <c r="J997" s="5"/>
      <c r="K997" s="31">
        <f t="shared" si="75"/>
      </c>
      <c r="L997" s="32">
        <f>IF($A997="","",C997*SUMIFS(Settings!$B$21:$B$25,Settings!$A$21:$A$25,SUMPRODUCT(MAX((Settings!$A$21:$A$25&lt;=$A997)*Settings!$A$21:$A$25)))+D997*SUMIFS(Settings!$C$21:$C$25,Settings!$A$21:$A$25,SUMPRODUCT(MAX((Settings!$A$21:$A$25&lt;=$A997)*Settings!$A$21:$A$25))))</f>
      </c>
      <c r="M997" s="32">
        <f>IF($A997="","",L997*IFERROR(INDEX(Settings!$B$30:$B$36,MATCH($B997,Settings!$A$30:$A$36,0)),0))</f>
      </c>
      <c r="N997" s="32">
        <f t="shared" si="76"/>
      </c>
      <c r="O997" s="33">
        <f t="shared" si="77"/>
      </c>
      <c r="P997" s="32">
        <f t="shared" si="78"/>
      </c>
      <c r="Q997" s="33">
        <f t="shared" si="79"/>
      </c>
    </row>
    <row r="998" spans="1:17" x14ac:dyDescent="0.25">
      <c r="A998" s="22"/>
      <c r="B998" s="5"/>
      <c r="C998" s="5"/>
      <c r="D998" s="5"/>
      <c r="E998" s="5"/>
      <c r="F998" s="5"/>
      <c r="G998" s="5"/>
      <c r="H998" s="23"/>
      <c r="I998" s="23"/>
      <c r="J998" s="5"/>
      <c r="K998" s="31">
        <f t="shared" si="75"/>
      </c>
      <c r="L998" s="32">
        <f>IF($A998="","",C998*SUMIFS(Settings!$B$21:$B$25,Settings!$A$21:$A$25,SUMPRODUCT(MAX((Settings!$A$21:$A$25&lt;=$A998)*Settings!$A$21:$A$25)))+D998*SUMIFS(Settings!$C$21:$C$25,Settings!$A$21:$A$25,SUMPRODUCT(MAX((Settings!$A$21:$A$25&lt;=$A998)*Settings!$A$21:$A$25))))</f>
      </c>
      <c r="M998" s="32">
        <f>IF($A998="","",L998*IFERROR(INDEX(Settings!$B$30:$B$36,MATCH($B998,Settings!$A$30:$A$36,0)),0))</f>
      </c>
      <c r="N998" s="32">
        <f t="shared" si="76"/>
      </c>
      <c r="O998" s="33">
        <f t="shared" si="77"/>
      </c>
      <c r="P998" s="32">
        <f t="shared" si="78"/>
      </c>
      <c r="Q998" s="33">
        <f t="shared" si="79"/>
      </c>
    </row>
    <row r="999" spans="1:17" x14ac:dyDescent="0.25">
      <c r="A999" s="22"/>
      <c r="B999" s="5"/>
      <c r="C999" s="5"/>
      <c r="D999" s="5"/>
      <c r="E999" s="5"/>
      <c r="F999" s="5"/>
      <c r="G999" s="5"/>
      <c r="H999" s="23"/>
      <c r="I999" s="23"/>
      <c r="J999" s="5"/>
      <c r="K999" s="31">
        <f t="shared" si="75"/>
      </c>
      <c r="L999" s="32">
        <f>IF($A999="","",C999*SUMIFS(Settings!$B$21:$B$25,Settings!$A$21:$A$25,SUMPRODUCT(MAX((Settings!$A$21:$A$25&lt;=$A999)*Settings!$A$21:$A$25)))+D999*SUMIFS(Settings!$C$21:$C$25,Settings!$A$21:$A$25,SUMPRODUCT(MAX((Settings!$A$21:$A$25&lt;=$A999)*Settings!$A$21:$A$25))))</f>
      </c>
      <c r="M999" s="32">
        <f>IF($A999="","",L999*IFERROR(INDEX(Settings!$B$30:$B$36,MATCH($B999,Settings!$A$30:$A$36,0)),0))</f>
      </c>
      <c r="N999" s="32">
        <f t="shared" si="76"/>
      </c>
      <c r="O999" s="33">
        <f t="shared" si="77"/>
      </c>
      <c r="P999" s="32">
        <f t="shared" si="78"/>
      </c>
      <c r="Q999" s="33">
        <f t="shared" si="79"/>
      </c>
    </row>
    <row r="1000" spans="1:17" x14ac:dyDescent="0.25">
      <c r="A1000" s="22"/>
      <c r="B1000" s="5"/>
      <c r="C1000" s="5"/>
      <c r="D1000" s="5"/>
      <c r="E1000" s="5"/>
      <c r="F1000" s="5"/>
      <c r="G1000" s="5"/>
      <c r="H1000" s="23"/>
      <c r="I1000" s="23"/>
      <c r="J1000" s="5"/>
      <c r="K1000" s="31">
        <f t="shared" si="75"/>
      </c>
      <c r="L1000" s="32">
        <f>IF($A1000="","",C1000*SUMIFS(Settings!$B$21:$B$25,Settings!$A$21:$A$25,SUMPRODUCT(MAX((Settings!$A$21:$A$25&lt;=$A1000)*Settings!$A$21:$A$25)))+D1000*SUMIFS(Settings!$C$21:$C$25,Settings!$A$21:$A$25,SUMPRODUCT(MAX((Settings!$A$21:$A$25&lt;=$A1000)*Settings!$A$21:$A$25))))</f>
      </c>
      <c r="M1000" s="32">
        <f>IF($A1000="","",L1000*IFERROR(INDEX(Settings!$B$30:$B$36,MATCH($B1000,Settings!$A$30:$A$36,0)),0))</f>
      </c>
      <c r="N1000" s="32">
        <f t="shared" si="76"/>
      </c>
      <c r="O1000" s="33">
        <f t="shared" si="77"/>
      </c>
      <c r="P1000" s="32">
        <f t="shared" si="78"/>
      </c>
      <c r="Q1000" s="33">
        <f t="shared" si="79"/>
      </c>
    </row>
    <row r="1001" spans="1:17" x14ac:dyDescent="0.25">
      <c r="A1001" s="22"/>
      <c r="B1001" s="5"/>
      <c r="C1001" s="5"/>
      <c r="D1001" s="5"/>
      <c r="E1001" s="5"/>
      <c r="F1001" s="5"/>
      <c r="G1001" s="5"/>
      <c r="H1001" s="23"/>
      <c r="I1001" s="23"/>
      <c r="J1001" s="5"/>
      <c r="K1001" s="31">
        <f t="shared" si="75"/>
      </c>
      <c r="L1001" s="32">
        <f>IF($A1001="","",C1001*SUMIFS(Settings!$B$21:$B$25,Settings!$A$21:$A$25,SUMPRODUCT(MAX((Settings!$A$21:$A$25&lt;=$A1001)*Settings!$A$21:$A$25)))+D1001*SUMIFS(Settings!$C$21:$C$25,Settings!$A$21:$A$25,SUMPRODUCT(MAX((Settings!$A$21:$A$25&lt;=$A1001)*Settings!$A$21:$A$25))))</f>
      </c>
      <c r="M1001" s="32">
        <f>IF($A1001="","",L1001*IFERROR(INDEX(Settings!$B$30:$B$36,MATCH($B1001,Settings!$A$30:$A$36,0)),0))</f>
      </c>
      <c r="N1001" s="32">
        <f t="shared" si="76"/>
      </c>
      <c r="O1001" s="33">
        <f t="shared" si="77"/>
      </c>
      <c r="P1001" s="32">
        <f t="shared" si="78"/>
      </c>
      <c r="Q1001" s="33">
        <f t="shared" si="79"/>
      </c>
    </row>
    <row r="1002" spans="1:17" x14ac:dyDescent="0.25">
      <c r="A1002" s="22"/>
      <c r="B1002" s="5"/>
      <c r="C1002" s="5"/>
      <c r="D1002" s="5"/>
      <c r="E1002" s="5"/>
      <c r="F1002" s="5"/>
      <c r="G1002" s="5"/>
      <c r="H1002" s="23"/>
      <c r="I1002" s="23"/>
      <c r="J1002" s="5"/>
      <c r="K1002" s="31">
        <f t="shared" si="75"/>
      </c>
      <c r="L1002" s="32">
        <f>IF($A1002="","",C1002*SUMIFS(Settings!$B$21:$B$25,Settings!$A$21:$A$25,SUMPRODUCT(MAX((Settings!$A$21:$A$25&lt;=$A1002)*Settings!$A$21:$A$25)))+D1002*SUMIFS(Settings!$C$21:$C$25,Settings!$A$21:$A$25,SUMPRODUCT(MAX((Settings!$A$21:$A$25&lt;=$A1002)*Settings!$A$21:$A$25))))</f>
      </c>
      <c r="M1002" s="32">
        <f>IF($A1002="","",L1002*IFERROR(INDEX(Settings!$B$30:$B$36,MATCH($B1002,Settings!$A$30:$A$36,0)),0))</f>
      </c>
      <c r="N1002" s="32">
        <f t="shared" si="76"/>
      </c>
      <c r="O1002" s="33">
        <f t="shared" si="77"/>
      </c>
      <c r="P1002" s="32">
        <f t="shared" si="78"/>
      </c>
      <c r="Q1002" s="33">
        <f t="shared" si="79"/>
      </c>
    </row>
    <row r="1003" spans="1:17" x14ac:dyDescent="0.25">
      <c r="A1003" s="22"/>
      <c r="B1003" s="5"/>
      <c r="C1003" s="5"/>
      <c r="D1003" s="5"/>
      <c r="E1003" s="5"/>
      <c r="F1003" s="5"/>
      <c r="G1003" s="5"/>
      <c r="H1003" s="23"/>
      <c r="I1003" s="23"/>
      <c r="J1003" s="5"/>
      <c r="K1003" s="31">
        <f t="shared" si="75"/>
      </c>
      <c r="L1003" s="32">
        <f>IF($A1003="","",C1003*SUMIFS(Settings!$B$21:$B$25,Settings!$A$21:$A$25,SUMPRODUCT(MAX((Settings!$A$21:$A$25&lt;=$A1003)*Settings!$A$21:$A$25)))+D1003*SUMIFS(Settings!$C$21:$C$25,Settings!$A$21:$A$25,SUMPRODUCT(MAX((Settings!$A$21:$A$25&lt;=$A1003)*Settings!$A$21:$A$25))))</f>
      </c>
      <c r="M1003" s="32">
        <f>IF($A1003="","",L1003*IFERROR(INDEX(Settings!$B$30:$B$36,MATCH($B1003,Settings!$A$30:$A$36,0)),0))</f>
      </c>
      <c r="N1003" s="32">
        <f t="shared" si="76"/>
      </c>
      <c r="O1003" s="33">
        <f t="shared" si="77"/>
      </c>
      <c r="P1003" s="32">
        <f t="shared" si="78"/>
      </c>
      <c r="Q1003" s="33">
        <f t="shared" si="79"/>
      </c>
    </row>
    <row r="1004" spans="1:17" x14ac:dyDescent="0.25">
      <c r="A1004" s="22"/>
      <c r="B1004" s="5"/>
      <c r="C1004" s="5"/>
      <c r="D1004" s="5"/>
      <c r="E1004" s="5"/>
      <c r="F1004" s="5"/>
      <c r="G1004" s="5"/>
      <c r="H1004" s="23"/>
      <c r="I1004" s="23"/>
      <c r="J1004" s="5"/>
      <c r="K1004" s="31">
        <f t="shared" si="75"/>
      </c>
      <c r="L1004" s="32">
        <f>IF($A1004="","",C1004*SUMIFS(Settings!$B$21:$B$25,Settings!$A$21:$A$25,SUMPRODUCT(MAX((Settings!$A$21:$A$25&lt;=$A1004)*Settings!$A$21:$A$25)))+D1004*SUMIFS(Settings!$C$21:$C$25,Settings!$A$21:$A$25,SUMPRODUCT(MAX((Settings!$A$21:$A$25&lt;=$A1004)*Settings!$A$21:$A$25))))</f>
      </c>
      <c r="M1004" s="32">
        <f>IF($A1004="","",L1004*IFERROR(INDEX(Settings!$B$30:$B$36,MATCH($B1004,Settings!$A$30:$A$36,0)),0))</f>
      </c>
      <c r="N1004" s="32">
        <f t="shared" si="76"/>
      </c>
      <c r="O1004" s="33">
        <f t="shared" si="77"/>
      </c>
      <c r="P1004" s="32">
        <f t="shared" si="78"/>
      </c>
      <c r="Q1004" s="33">
        <f t="shared" si="79"/>
      </c>
    </row>
    <row r="1005" spans="1:17" x14ac:dyDescent="0.25">
      <c r="A1005" s="22"/>
      <c r="B1005" s="5"/>
      <c r="C1005" s="5"/>
      <c r="D1005" s="5"/>
      <c r="E1005" s="5"/>
      <c r="F1005" s="5"/>
      <c r="G1005" s="5"/>
      <c r="H1005" s="23"/>
      <c r="I1005" s="23"/>
      <c r="J1005" s="5"/>
      <c r="K1005" s="31">
        <f t="shared" si="75"/>
      </c>
      <c r="L1005" s="32">
        <f>IF($A1005="","",C1005*SUMIFS(Settings!$B$21:$B$25,Settings!$A$21:$A$25,SUMPRODUCT(MAX((Settings!$A$21:$A$25&lt;=$A1005)*Settings!$A$21:$A$25)))+D1005*SUMIFS(Settings!$C$21:$C$25,Settings!$A$21:$A$25,SUMPRODUCT(MAX((Settings!$A$21:$A$25&lt;=$A1005)*Settings!$A$21:$A$25))))</f>
      </c>
      <c r="M1005" s="32">
        <f>IF($A1005="","",L1005*IFERROR(INDEX(Settings!$B$30:$B$36,MATCH($B1005,Settings!$A$30:$A$36,0)),0))</f>
      </c>
      <c r="N1005" s="32">
        <f t="shared" si="76"/>
      </c>
      <c r="O1005" s="33">
        <f t="shared" si="77"/>
      </c>
      <c r="P1005" s="32">
        <f t="shared" si="78"/>
      </c>
      <c r="Q1005" s="33">
        <f t="shared" si="79"/>
      </c>
    </row>
  </sheetData>
  <conditionalFormatting sqref="O6:O1005">
    <cfRule type="cellIs" dxfId="0" priority="2" operator="equal">
      <formula>"CHECK"</formula>
    </cfRule>
    <cfRule type="cellIs" dxfId="1" priority="3" operator="equal">
      <formula>"OK"</formula>
    </cfRule>
  </conditionalFormatting>
  <conditionalFormatting sqref="Q6:Q1005">
    <cfRule type="cellIs" dxfId="2" priority="4" operator="equal">
      <formula>"CHECK"</formula>
    </cfRule>
    <cfRule type="cellIs" dxfId="3" priority="5" operator="equal">
      <formula>"OK"</formula>
    </cfRule>
  </conditionalFormatting>
  <dataValidations count="6">
    <dataValidation type="date" operator="greaterThan" allowBlank="1" error="Enter a valid date, for example 02/11/2026" sqref="A10:A1005">
      <formula1>36526</formula1>
      <formula2>0</formula2>
    </dataValidation>
    <dataValidation type="date" operator="greaterThan" allowBlank="1" error="Enter a valid date, for example 02/11/2026" sqref="A6:A1005">
      <formula1>36526</formula1>
      <formula2>0</formula2>
    </dataValidation>
    <dataValidation type="whole" operator="greaterThanOrEqual" allowBlank="1" error="Enter a whole number, 0 or more" sqref="C10:G1005">
      <formula1>0</formula1>
      <formula2>0</formula2>
    </dataValidation>
    <dataValidation type="whole" operator="greaterThanOrEqual" allowBlank="1" error="Enter a whole number, 0 or more" sqref="C6:G1005">
      <formula1>0</formula1>
      <formula2>0</formula2>
    </dataValidation>
    <dataValidation type="decimal" operator="greaterThanOrEqual" allowBlank="1" error="Enter an amount, 0 or more" sqref="H10:I1005">
      <formula1>0</formula1>
      <formula2>0</formula2>
    </dataValidation>
    <dataValidation type="decimal" operator="greaterThanOrEqual" allowBlank="1" error="Enter an amount, 0 or more" sqref="H6:I1005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5"/>
  <sheetViews>
    <sheetView workbookViewId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0.2" defaultColWidth="8.6640625"/>
  <cols>
    <col min="1" max="1" width="13" customWidth="1"/>
    <col min="2" max="2" width="30" customWidth="1"/>
    <col min="3" max="3" width="34" customWidth="1"/>
    <col min="4" max="4" width="15" customWidth="1"/>
    <col min="5" max="5" width="20" customWidth="1"/>
    <col min="6" max="6" width="30" customWidth="1"/>
    <col min="7" max="7" width="16" customWidth="1"/>
  </cols>
  <sheetData>
    <row r="1" ht="18" customHeight="1" spans="1:1" x14ac:dyDescent="0.25">
      <c r="A1" s="1" t="s">
        <v>129</v>
      </c>
    </row>
    <row r="2" spans="1:1" x14ac:dyDescent="0.25">
      <c r="A2" s="2" t="s">
        <v>130</v>
      </c>
    </row>
    <row r="4" ht="30" customHeight="1" spans="1:7" x14ac:dyDescent="0.25">
      <c r="A4" s="25" t="s">
        <v>113</v>
      </c>
      <c r="B4" s="25" t="s">
        <v>88</v>
      </c>
      <c r="C4" s="25" t="s">
        <v>131</v>
      </c>
      <c r="D4" s="25" t="s">
        <v>132</v>
      </c>
      <c r="E4" s="25" t="s">
        <v>133</v>
      </c>
      <c r="F4" s="25" t="s">
        <v>121</v>
      </c>
      <c r="G4" s="26" t="s">
        <v>89</v>
      </c>
    </row>
    <row r="5" spans="1:7" x14ac:dyDescent="0.25">
      <c r="A5" s="27">
        <v>46327</v>
      </c>
      <c r="B5" s="28" t="s">
        <v>91</v>
      </c>
      <c r="C5" s="28" t="s">
        <v>134</v>
      </c>
      <c r="D5" s="29">
        <v>4500</v>
      </c>
      <c r="E5" s="28" t="s">
        <v>107</v>
      </c>
      <c r="F5" s="28" t="s">
        <v>126</v>
      </c>
      <c r="G5" s="28" t="s">
        <v>92</v>
      </c>
    </row>
    <row r="6" spans="1:7" x14ac:dyDescent="0.25">
      <c r="A6" s="22"/>
      <c r="B6" s="5"/>
      <c r="C6" s="5"/>
      <c r="D6" s="23"/>
      <c r="E6" s="5"/>
      <c r="F6" s="5"/>
      <c r="G6" s="31">
        <f>IF($B6="","",IFERROR(INDEX(Settings!$B$41:$B$55,MATCH($B6,Settings!$A$41:$A$55,0)),"Check category"))</f>
      </c>
    </row>
    <row r="7" spans="1:7" x14ac:dyDescent="0.25">
      <c r="A7" s="22"/>
      <c r="B7" s="5"/>
      <c r="C7" s="5"/>
      <c r="D7" s="23"/>
      <c r="E7" s="5"/>
      <c r="F7" s="5"/>
      <c r="G7" s="31">
        <f>IF($B7="","",IFERROR(INDEX(Settings!$B$41:$B$55,MATCH($B7,Settings!$A$41:$A$55,0)),"Check category"))</f>
      </c>
    </row>
    <row r="8" spans="1:7" x14ac:dyDescent="0.25">
      <c r="A8" s="22"/>
      <c r="B8" s="5"/>
      <c r="C8" s="5"/>
      <c r="D8" s="23"/>
      <c r="E8" s="5"/>
      <c r="F8" s="5"/>
      <c r="G8" s="31">
        <f>IF($B8="","",IFERROR(INDEX(Settings!$B$41:$B$55,MATCH($B8,Settings!$A$41:$A$55,0)),"Check category"))</f>
      </c>
    </row>
    <row r="9" spans="1:7" x14ac:dyDescent="0.25">
      <c r="A9" s="22"/>
      <c r="B9" s="5"/>
      <c r="C9" s="5"/>
      <c r="D9" s="23"/>
      <c r="E9" s="5"/>
      <c r="F9" s="5"/>
      <c r="G9" s="31">
        <f>IF($B9="","",IFERROR(INDEX(Settings!$B$41:$B$55,MATCH($B9,Settings!$A$41:$A$55,0)),"Check category"))</f>
      </c>
    </row>
    <row r="10" spans="1:7" x14ac:dyDescent="0.25">
      <c r="A10" s="22"/>
      <c r="B10" s="5"/>
      <c r="C10" s="5"/>
      <c r="D10" s="23"/>
      <c r="E10" s="5"/>
      <c r="F10" s="5"/>
      <c r="G10" s="31">
        <f>IF($B10="","",IFERROR(INDEX(Settings!$B$41:$B$55,MATCH($B10,Settings!$A$41:$A$55,0)),"Check category"))</f>
      </c>
    </row>
    <row r="11" spans="1:7" x14ac:dyDescent="0.25">
      <c r="A11" s="22"/>
      <c r="B11" s="5"/>
      <c r="C11" s="5"/>
      <c r="D11" s="23"/>
      <c r="E11" s="5"/>
      <c r="F11" s="5"/>
      <c r="G11" s="31">
        <f>IF($B11="","",IFERROR(INDEX(Settings!$B$41:$B$55,MATCH($B11,Settings!$A$41:$A$55,0)),"Check category"))</f>
      </c>
    </row>
    <row r="12" spans="1:7" x14ac:dyDescent="0.25">
      <c r="A12" s="22"/>
      <c r="B12" s="5"/>
      <c r="C12" s="5"/>
      <c r="D12" s="23"/>
      <c r="E12" s="5"/>
      <c r="F12" s="5"/>
      <c r="G12" s="31">
        <f>IF($B12="","",IFERROR(INDEX(Settings!$B$41:$B$55,MATCH($B12,Settings!$A$41:$A$55,0)),"Check category"))</f>
      </c>
    </row>
    <row r="13" spans="1:7" x14ac:dyDescent="0.25">
      <c r="A13" s="22"/>
      <c r="B13" s="5"/>
      <c r="C13" s="5"/>
      <c r="D13" s="23"/>
      <c r="E13" s="5"/>
      <c r="F13" s="5"/>
      <c r="G13" s="31">
        <f>IF($B13="","",IFERROR(INDEX(Settings!$B$41:$B$55,MATCH($B13,Settings!$A$41:$A$55,0)),"Check category"))</f>
      </c>
    </row>
    <row r="14" spans="1:7" x14ac:dyDescent="0.25">
      <c r="A14" s="22"/>
      <c r="B14" s="5"/>
      <c r="C14" s="5"/>
      <c r="D14" s="23"/>
      <c r="E14" s="5"/>
      <c r="F14" s="5"/>
      <c r="G14" s="31">
        <f>IF($B14="","",IFERROR(INDEX(Settings!$B$41:$B$55,MATCH($B14,Settings!$A$41:$A$55,0)),"Check category"))</f>
      </c>
    </row>
    <row r="15" spans="1:7" x14ac:dyDescent="0.25">
      <c r="A15" s="22"/>
      <c r="B15" s="5"/>
      <c r="C15" s="5"/>
      <c r="D15" s="23"/>
      <c r="E15" s="5"/>
      <c r="F15" s="5"/>
      <c r="G15" s="31">
        <f>IF($B15="","",IFERROR(INDEX(Settings!$B$41:$B$55,MATCH($B15,Settings!$A$41:$A$55,0)),"Check category"))</f>
      </c>
    </row>
    <row r="16" spans="1:7" x14ac:dyDescent="0.25">
      <c r="A16" s="22"/>
      <c r="B16" s="5"/>
      <c r="C16" s="5"/>
      <c r="D16" s="23"/>
      <c r="E16" s="5"/>
      <c r="F16" s="5"/>
      <c r="G16" s="31">
        <f>IF($B16="","",IFERROR(INDEX(Settings!$B$41:$B$55,MATCH($B16,Settings!$A$41:$A$55,0)),"Check category"))</f>
      </c>
    </row>
    <row r="17" spans="1:7" x14ac:dyDescent="0.25">
      <c r="A17" s="22"/>
      <c r="B17" s="5"/>
      <c r="C17" s="5"/>
      <c r="D17" s="23"/>
      <c r="E17" s="5"/>
      <c r="F17" s="5"/>
      <c r="G17" s="31">
        <f>IF($B17="","",IFERROR(INDEX(Settings!$B$41:$B$55,MATCH($B17,Settings!$A$41:$A$55,0)),"Check category"))</f>
      </c>
    </row>
    <row r="18" spans="1:7" x14ac:dyDescent="0.25">
      <c r="A18" s="22"/>
      <c r="B18" s="5"/>
      <c r="C18" s="5"/>
      <c r="D18" s="23"/>
      <c r="E18" s="5"/>
      <c r="F18" s="5"/>
      <c r="G18" s="31">
        <f>IF($B18="","",IFERROR(INDEX(Settings!$B$41:$B$55,MATCH($B18,Settings!$A$41:$A$55,0)),"Check category"))</f>
      </c>
    </row>
    <row r="19" spans="1:7" x14ac:dyDescent="0.25">
      <c r="A19" s="22"/>
      <c r="B19" s="5"/>
      <c r="C19" s="5"/>
      <c r="D19" s="23"/>
      <c r="E19" s="5"/>
      <c r="F19" s="5"/>
      <c r="G19" s="31">
        <f>IF($B19="","",IFERROR(INDEX(Settings!$B$41:$B$55,MATCH($B19,Settings!$A$41:$A$55,0)),"Check category"))</f>
      </c>
    </row>
    <row r="20" spans="1:7" x14ac:dyDescent="0.25">
      <c r="A20" s="22"/>
      <c r="B20" s="5"/>
      <c r="C20" s="5"/>
      <c r="D20" s="23"/>
      <c r="E20" s="5"/>
      <c r="F20" s="5"/>
      <c r="G20" s="31">
        <f>IF($B20="","",IFERROR(INDEX(Settings!$B$41:$B$55,MATCH($B20,Settings!$A$41:$A$55,0)),"Check category"))</f>
      </c>
    </row>
    <row r="21" spans="1:7" x14ac:dyDescent="0.25">
      <c r="A21" s="22"/>
      <c r="B21" s="5"/>
      <c r="C21" s="5"/>
      <c r="D21" s="23"/>
      <c r="E21" s="5"/>
      <c r="F21" s="5"/>
      <c r="G21" s="31">
        <f>IF($B21="","",IFERROR(INDEX(Settings!$B$41:$B$55,MATCH($B21,Settings!$A$41:$A$55,0)),"Check category"))</f>
      </c>
    </row>
    <row r="22" spans="1:7" x14ac:dyDescent="0.25">
      <c r="A22" s="22"/>
      <c r="B22" s="5"/>
      <c r="C22" s="5"/>
      <c r="D22" s="23"/>
      <c r="E22" s="5"/>
      <c r="F22" s="5"/>
      <c r="G22" s="31">
        <f>IF($B22="","",IFERROR(INDEX(Settings!$B$41:$B$55,MATCH($B22,Settings!$A$41:$A$55,0)),"Check category"))</f>
      </c>
    </row>
    <row r="23" spans="1:7" x14ac:dyDescent="0.25">
      <c r="A23" s="22"/>
      <c r="B23" s="5"/>
      <c r="C23" s="5"/>
      <c r="D23" s="23"/>
      <c r="E23" s="5"/>
      <c r="F23" s="5"/>
      <c r="G23" s="31">
        <f>IF($B23="","",IFERROR(INDEX(Settings!$B$41:$B$55,MATCH($B23,Settings!$A$41:$A$55,0)),"Check category"))</f>
      </c>
    </row>
    <row r="24" spans="1:7" x14ac:dyDescent="0.25">
      <c r="A24" s="22"/>
      <c r="B24" s="5"/>
      <c r="C24" s="5"/>
      <c r="D24" s="23"/>
      <c r="E24" s="5"/>
      <c r="F24" s="5"/>
      <c r="G24" s="31">
        <f>IF($B24="","",IFERROR(INDEX(Settings!$B$41:$B$55,MATCH($B24,Settings!$A$41:$A$55,0)),"Check category"))</f>
      </c>
    </row>
    <row r="25" spans="1:7" x14ac:dyDescent="0.25">
      <c r="A25" s="22"/>
      <c r="B25" s="5"/>
      <c r="C25" s="5"/>
      <c r="D25" s="23"/>
      <c r="E25" s="5"/>
      <c r="F25" s="5"/>
      <c r="G25" s="31">
        <f>IF($B25="","",IFERROR(INDEX(Settings!$B$41:$B$55,MATCH($B25,Settings!$A$41:$A$55,0)),"Check category"))</f>
      </c>
    </row>
    <row r="26" spans="1:7" x14ac:dyDescent="0.25">
      <c r="A26" s="22"/>
      <c r="B26" s="5"/>
      <c r="C26" s="5"/>
      <c r="D26" s="23"/>
      <c r="E26" s="5"/>
      <c r="F26" s="5"/>
      <c r="G26" s="31">
        <f>IF($B26="","",IFERROR(INDEX(Settings!$B$41:$B$55,MATCH($B26,Settings!$A$41:$A$55,0)),"Check category"))</f>
      </c>
    </row>
    <row r="27" spans="1:7" x14ac:dyDescent="0.25">
      <c r="A27" s="22"/>
      <c r="B27" s="5"/>
      <c r="C27" s="5"/>
      <c r="D27" s="23"/>
      <c r="E27" s="5"/>
      <c r="F27" s="5"/>
      <c r="G27" s="31">
        <f>IF($B27="","",IFERROR(INDEX(Settings!$B$41:$B$55,MATCH($B27,Settings!$A$41:$A$55,0)),"Check category"))</f>
      </c>
    </row>
    <row r="28" spans="1:7" x14ac:dyDescent="0.25">
      <c r="A28" s="22"/>
      <c r="B28" s="5"/>
      <c r="C28" s="5"/>
      <c r="D28" s="23"/>
      <c r="E28" s="5"/>
      <c r="F28" s="5"/>
      <c r="G28" s="31">
        <f>IF($B28="","",IFERROR(INDEX(Settings!$B$41:$B$55,MATCH($B28,Settings!$A$41:$A$55,0)),"Check category"))</f>
      </c>
    </row>
    <row r="29" spans="1:7" x14ac:dyDescent="0.25">
      <c r="A29" s="22"/>
      <c r="B29" s="5"/>
      <c r="C29" s="5"/>
      <c r="D29" s="23"/>
      <c r="E29" s="5"/>
      <c r="F29" s="5"/>
      <c r="G29" s="31">
        <f>IF($B29="","",IFERROR(INDEX(Settings!$B$41:$B$55,MATCH($B29,Settings!$A$41:$A$55,0)),"Check category"))</f>
      </c>
    </row>
    <row r="30" spans="1:7" x14ac:dyDescent="0.25">
      <c r="A30" s="22"/>
      <c r="B30" s="5"/>
      <c r="C30" s="5"/>
      <c r="D30" s="23"/>
      <c r="E30" s="5"/>
      <c r="F30" s="5"/>
      <c r="G30" s="31">
        <f>IF($B30="","",IFERROR(INDEX(Settings!$B$41:$B$55,MATCH($B30,Settings!$A$41:$A$55,0)),"Check category"))</f>
      </c>
    </row>
    <row r="31" spans="1:7" x14ac:dyDescent="0.25">
      <c r="A31" s="22"/>
      <c r="B31" s="5"/>
      <c r="C31" s="5"/>
      <c r="D31" s="23"/>
      <c r="E31" s="5"/>
      <c r="F31" s="5"/>
      <c r="G31" s="31">
        <f>IF($B31="","",IFERROR(INDEX(Settings!$B$41:$B$55,MATCH($B31,Settings!$A$41:$A$55,0)),"Check category"))</f>
      </c>
    </row>
    <row r="32" spans="1:7" x14ac:dyDescent="0.25">
      <c r="A32" s="22"/>
      <c r="B32" s="5"/>
      <c r="C32" s="5"/>
      <c r="D32" s="23"/>
      <c r="E32" s="5"/>
      <c r="F32" s="5"/>
      <c r="G32" s="31">
        <f>IF($B32="","",IFERROR(INDEX(Settings!$B$41:$B$55,MATCH($B32,Settings!$A$41:$A$55,0)),"Check category"))</f>
      </c>
    </row>
    <row r="33" spans="1:7" x14ac:dyDescent="0.25">
      <c r="A33" s="22"/>
      <c r="B33" s="5"/>
      <c r="C33" s="5"/>
      <c r="D33" s="23"/>
      <c r="E33" s="5"/>
      <c r="F33" s="5"/>
      <c r="G33" s="31">
        <f>IF($B33="","",IFERROR(INDEX(Settings!$B$41:$B$55,MATCH($B33,Settings!$A$41:$A$55,0)),"Check category"))</f>
      </c>
    </row>
    <row r="34" spans="1:7" x14ac:dyDescent="0.25">
      <c r="A34" s="22"/>
      <c r="B34" s="5"/>
      <c r="C34" s="5"/>
      <c r="D34" s="23"/>
      <c r="E34" s="5"/>
      <c r="F34" s="5"/>
      <c r="G34" s="31">
        <f>IF($B34="","",IFERROR(INDEX(Settings!$B$41:$B$55,MATCH($B34,Settings!$A$41:$A$55,0)),"Check category"))</f>
      </c>
    </row>
    <row r="35" spans="1:7" x14ac:dyDescent="0.25">
      <c r="A35" s="22"/>
      <c r="B35" s="5"/>
      <c r="C35" s="5"/>
      <c r="D35" s="23"/>
      <c r="E35" s="5"/>
      <c r="F35" s="5"/>
      <c r="G35" s="31">
        <f>IF($B35="","",IFERROR(INDEX(Settings!$B$41:$B$55,MATCH($B35,Settings!$A$41:$A$55,0)),"Check category"))</f>
      </c>
    </row>
    <row r="36" spans="1:7" x14ac:dyDescent="0.25">
      <c r="A36" s="22"/>
      <c r="B36" s="5"/>
      <c r="C36" s="5"/>
      <c r="D36" s="23"/>
      <c r="E36" s="5"/>
      <c r="F36" s="5"/>
      <c r="G36" s="31">
        <f>IF($B36="","",IFERROR(INDEX(Settings!$B$41:$B$55,MATCH($B36,Settings!$A$41:$A$55,0)),"Check category"))</f>
      </c>
    </row>
    <row r="37" spans="1:7" x14ac:dyDescent="0.25">
      <c r="A37" s="22"/>
      <c r="B37" s="5"/>
      <c r="C37" s="5"/>
      <c r="D37" s="23"/>
      <c r="E37" s="5"/>
      <c r="F37" s="5"/>
      <c r="G37" s="31">
        <f>IF($B37="","",IFERROR(INDEX(Settings!$B$41:$B$55,MATCH($B37,Settings!$A$41:$A$55,0)),"Check category"))</f>
      </c>
    </row>
    <row r="38" spans="1:7" x14ac:dyDescent="0.25">
      <c r="A38" s="22"/>
      <c r="B38" s="5"/>
      <c r="C38" s="5"/>
      <c r="D38" s="23"/>
      <c r="E38" s="5"/>
      <c r="F38" s="5"/>
      <c r="G38" s="31">
        <f>IF($B38="","",IFERROR(INDEX(Settings!$B$41:$B$55,MATCH($B38,Settings!$A$41:$A$55,0)),"Check category"))</f>
      </c>
    </row>
    <row r="39" spans="1:7" x14ac:dyDescent="0.25">
      <c r="A39" s="22"/>
      <c r="B39" s="5"/>
      <c r="C39" s="5"/>
      <c r="D39" s="23"/>
      <c r="E39" s="5"/>
      <c r="F39" s="5"/>
      <c r="G39" s="31">
        <f>IF($B39="","",IFERROR(INDEX(Settings!$B$41:$B$55,MATCH($B39,Settings!$A$41:$A$55,0)),"Check category"))</f>
      </c>
    </row>
    <row r="40" spans="1:7" x14ac:dyDescent="0.25">
      <c r="A40" s="22"/>
      <c r="B40" s="5"/>
      <c r="C40" s="5"/>
      <c r="D40" s="23"/>
      <c r="E40" s="5"/>
      <c r="F40" s="5"/>
      <c r="G40" s="31">
        <f>IF($B40="","",IFERROR(INDEX(Settings!$B$41:$B$55,MATCH($B40,Settings!$A$41:$A$55,0)),"Check category"))</f>
      </c>
    </row>
    <row r="41" spans="1:7" x14ac:dyDescent="0.25">
      <c r="A41" s="22"/>
      <c r="B41" s="5"/>
      <c r="C41" s="5"/>
      <c r="D41" s="23"/>
      <c r="E41" s="5"/>
      <c r="F41" s="5"/>
      <c r="G41" s="31">
        <f>IF($B41="","",IFERROR(INDEX(Settings!$B$41:$B$55,MATCH($B41,Settings!$A$41:$A$55,0)),"Check category"))</f>
      </c>
    </row>
    <row r="42" spans="1:7" x14ac:dyDescent="0.25">
      <c r="A42" s="22"/>
      <c r="B42" s="5"/>
      <c r="C42" s="5"/>
      <c r="D42" s="23"/>
      <c r="E42" s="5"/>
      <c r="F42" s="5"/>
      <c r="G42" s="31">
        <f>IF($B42="","",IFERROR(INDEX(Settings!$B$41:$B$55,MATCH($B42,Settings!$A$41:$A$55,0)),"Check category"))</f>
      </c>
    </row>
    <row r="43" spans="1:7" x14ac:dyDescent="0.25">
      <c r="A43" s="22"/>
      <c r="B43" s="5"/>
      <c r="C43" s="5"/>
      <c r="D43" s="23"/>
      <c r="E43" s="5"/>
      <c r="F43" s="5"/>
      <c r="G43" s="31">
        <f>IF($B43="","",IFERROR(INDEX(Settings!$B$41:$B$55,MATCH($B43,Settings!$A$41:$A$55,0)),"Check category"))</f>
      </c>
    </row>
    <row r="44" spans="1:7" x14ac:dyDescent="0.25">
      <c r="A44" s="22"/>
      <c r="B44" s="5"/>
      <c r="C44" s="5"/>
      <c r="D44" s="23"/>
      <c r="E44" s="5"/>
      <c r="F44" s="5"/>
      <c r="G44" s="31">
        <f>IF($B44="","",IFERROR(INDEX(Settings!$B$41:$B$55,MATCH($B44,Settings!$A$41:$A$55,0)),"Check category"))</f>
      </c>
    </row>
    <row r="45" spans="1:7" x14ac:dyDescent="0.25">
      <c r="A45" s="22"/>
      <c r="B45" s="5"/>
      <c r="C45" s="5"/>
      <c r="D45" s="23"/>
      <c r="E45" s="5"/>
      <c r="F45" s="5"/>
      <c r="G45" s="31">
        <f>IF($B45="","",IFERROR(INDEX(Settings!$B$41:$B$55,MATCH($B45,Settings!$A$41:$A$55,0)),"Check category"))</f>
      </c>
    </row>
    <row r="46" spans="1:7" x14ac:dyDescent="0.25">
      <c r="A46" s="22"/>
      <c r="B46" s="5"/>
      <c r="C46" s="5"/>
      <c r="D46" s="23"/>
      <c r="E46" s="5"/>
      <c r="F46" s="5"/>
      <c r="G46" s="31">
        <f>IF($B46="","",IFERROR(INDEX(Settings!$B$41:$B$55,MATCH($B46,Settings!$A$41:$A$55,0)),"Check category"))</f>
      </c>
    </row>
    <row r="47" spans="1:7" x14ac:dyDescent="0.25">
      <c r="A47" s="22"/>
      <c r="B47" s="5"/>
      <c r="C47" s="5"/>
      <c r="D47" s="23"/>
      <c r="E47" s="5"/>
      <c r="F47" s="5"/>
      <c r="G47" s="31">
        <f>IF($B47="","",IFERROR(INDEX(Settings!$B$41:$B$55,MATCH($B47,Settings!$A$41:$A$55,0)),"Check category"))</f>
      </c>
    </row>
    <row r="48" spans="1:7" x14ac:dyDescent="0.25">
      <c r="A48" s="22"/>
      <c r="B48" s="5"/>
      <c r="C48" s="5"/>
      <c r="D48" s="23"/>
      <c r="E48" s="5"/>
      <c r="F48" s="5"/>
      <c r="G48" s="31">
        <f>IF($B48="","",IFERROR(INDEX(Settings!$B$41:$B$55,MATCH($B48,Settings!$A$41:$A$55,0)),"Check category"))</f>
      </c>
    </row>
    <row r="49" spans="1:7" x14ac:dyDescent="0.25">
      <c r="A49" s="22"/>
      <c r="B49" s="5"/>
      <c r="C49" s="5"/>
      <c r="D49" s="23"/>
      <c r="E49" s="5"/>
      <c r="F49" s="5"/>
      <c r="G49" s="31">
        <f>IF($B49="","",IFERROR(INDEX(Settings!$B$41:$B$55,MATCH($B49,Settings!$A$41:$A$55,0)),"Check category"))</f>
      </c>
    </row>
    <row r="50" spans="1:7" x14ac:dyDescent="0.25">
      <c r="A50" s="22"/>
      <c r="B50" s="5"/>
      <c r="C50" s="5"/>
      <c r="D50" s="23"/>
      <c r="E50" s="5"/>
      <c r="F50" s="5"/>
      <c r="G50" s="31">
        <f>IF($B50="","",IFERROR(INDEX(Settings!$B$41:$B$55,MATCH($B50,Settings!$A$41:$A$55,0)),"Check category"))</f>
      </c>
    </row>
    <row r="51" spans="1:7" x14ac:dyDescent="0.25">
      <c r="A51" s="22"/>
      <c r="B51" s="5"/>
      <c r="C51" s="5"/>
      <c r="D51" s="23"/>
      <c r="E51" s="5"/>
      <c r="F51" s="5"/>
      <c r="G51" s="31">
        <f>IF($B51="","",IFERROR(INDEX(Settings!$B$41:$B$55,MATCH($B51,Settings!$A$41:$A$55,0)),"Check category"))</f>
      </c>
    </row>
    <row r="52" spans="1:7" x14ac:dyDescent="0.25">
      <c r="A52" s="22"/>
      <c r="B52" s="5"/>
      <c r="C52" s="5"/>
      <c r="D52" s="23"/>
      <c r="E52" s="5"/>
      <c r="F52" s="5"/>
      <c r="G52" s="31">
        <f>IF($B52="","",IFERROR(INDEX(Settings!$B$41:$B$55,MATCH($B52,Settings!$A$41:$A$55,0)),"Check category"))</f>
      </c>
    </row>
    <row r="53" spans="1:7" x14ac:dyDescent="0.25">
      <c r="A53" s="22"/>
      <c r="B53" s="5"/>
      <c r="C53" s="5"/>
      <c r="D53" s="23"/>
      <c r="E53" s="5"/>
      <c r="F53" s="5"/>
      <c r="G53" s="31">
        <f>IF($B53="","",IFERROR(INDEX(Settings!$B$41:$B$55,MATCH($B53,Settings!$A$41:$A$55,0)),"Check category"))</f>
      </c>
    </row>
    <row r="54" spans="1:7" x14ac:dyDescent="0.25">
      <c r="A54" s="22"/>
      <c r="B54" s="5"/>
      <c r="C54" s="5"/>
      <c r="D54" s="23"/>
      <c r="E54" s="5"/>
      <c r="F54" s="5"/>
      <c r="G54" s="31">
        <f>IF($B54="","",IFERROR(INDEX(Settings!$B$41:$B$55,MATCH($B54,Settings!$A$41:$A$55,0)),"Check category"))</f>
      </c>
    </row>
    <row r="55" spans="1:7" x14ac:dyDescent="0.25">
      <c r="A55" s="22"/>
      <c r="B55" s="5"/>
      <c r="C55" s="5"/>
      <c r="D55" s="23"/>
      <c r="E55" s="5"/>
      <c r="F55" s="5"/>
      <c r="G55" s="31">
        <f>IF($B55="","",IFERROR(INDEX(Settings!$B$41:$B$55,MATCH($B55,Settings!$A$41:$A$55,0)),"Check category"))</f>
      </c>
    </row>
    <row r="56" spans="1:7" x14ac:dyDescent="0.25">
      <c r="A56" s="22"/>
      <c r="B56" s="5"/>
      <c r="C56" s="5"/>
      <c r="D56" s="23"/>
      <c r="E56" s="5"/>
      <c r="F56" s="5"/>
      <c r="G56" s="31">
        <f>IF($B56="","",IFERROR(INDEX(Settings!$B$41:$B$55,MATCH($B56,Settings!$A$41:$A$55,0)),"Check category"))</f>
      </c>
    </row>
    <row r="57" spans="1:7" x14ac:dyDescent="0.25">
      <c r="A57" s="22"/>
      <c r="B57" s="5"/>
      <c r="C57" s="5"/>
      <c r="D57" s="23"/>
      <c r="E57" s="5"/>
      <c r="F57" s="5"/>
      <c r="G57" s="31">
        <f>IF($B57="","",IFERROR(INDEX(Settings!$B$41:$B$55,MATCH($B57,Settings!$A$41:$A$55,0)),"Check category"))</f>
      </c>
    </row>
    <row r="58" spans="1:7" x14ac:dyDescent="0.25">
      <c r="A58" s="22"/>
      <c r="B58" s="5"/>
      <c r="C58" s="5"/>
      <c r="D58" s="23"/>
      <c r="E58" s="5"/>
      <c r="F58" s="5"/>
      <c r="G58" s="31">
        <f>IF($B58="","",IFERROR(INDEX(Settings!$B$41:$B$55,MATCH($B58,Settings!$A$41:$A$55,0)),"Check category"))</f>
      </c>
    </row>
    <row r="59" spans="1:7" x14ac:dyDescent="0.25">
      <c r="A59" s="22"/>
      <c r="B59" s="5"/>
      <c r="C59" s="5"/>
      <c r="D59" s="23"/>
      <c r="E59" s="5"/>
      <c r="F59" s="5"/>
      <c r="G59" s="31">
        <f>IF($B59="","",IFERROR(INDEX(Settings!$B$41:$B$55,MATCH($B59,Settings!$A$41:$A$55,0)),"Check category"))</f>
      </c>
    </row>
    <row r="60" spans="1:7" x14ac:dyDescent="0.25">
      <c r="A60" s="22"/>
      <c r="B60" s="5"/>
      <c r="C60" s="5"/>
      <c r="D60" s="23"/>
      <c r="E60" s="5"/>
      <c r="F60" s="5"/>
      <c r="G60" s="31">
        <f>IF($B60="","",IFERROR(INDEX(Settings!$B$41:$B$55,MATCH($B60,Settings!$A$41:$A$55,0)),"Check category"))</f>
      </c>
    </row>
    <row r="61" spans="1:7" x14ac:dyDescent="0.25">
      <c r="A61" s="22"/>
      <c r="B61" s="5"/>
      <c r="C61" s="5"/>
      <c r="D61" s="23"/>
      <c r="E61" s="5"/>
      <c r="F61" s="5"/>
      <c r="G61" s="31">
        <f>IF($B61="","",IFERROR(INDEX(Settings!$B$41:$B$55,MATCH($B61,Settings!$A$41:$A$55,0)),"Check category"))</f>
      </c>
    </row>
    <row r="62" spans="1:7" x14ac:dyDescent="0.25">
      <c r="A62" s="22"/>
      <c r="B62" s="5"/>
      <c r="C62" s="5"/>
      <c r="D62" s="23"/>
      <c r="E62" s="5"/>
      <c r="F62" s="5"/>
      <c r="G62" s="31">
        <f>IF($B62="","",IFERROR(INDEX(Settings!$B$41:$B$55,MATCH($B62,Settings!$A$41:$A$55,0)),"Check category"))</f>
      </c>
    </row>
    <row r="63" spans="1:7" x14ac:dyDescent="0.25">
      <c r="A63" s="22"/>
      <c r="B63" s="5"/>
      <c r="C63" s="5"/>
      <c r="D63" s="23"/>
      <c r="E63" s="5"/>
      <c r="F63" s="5"/>
      <c r="G63" s="31">
        <f>IF($B63="","",IFERROR(INDEX(Settings!$B$41:$B$55,MATCH($B63,Settings!$A$41:$A$55,0)),"Check category"))</f>
      </c>
    </row>
    <row r="64" spans="1:7" x14ac:dyDescent="0.25">
      <c r="A64" s="22"/>
      <c r="B64" s="5"/>
      <c r="C64" s="5"/>
      <c r="D64" s="23"/>
      <c r="E64" s="5"/>
      <c r="F64" s="5"/>
      <c r="G64" s="31">
        <f>IF($B64="","",IFERROR(INDEX(Settings!$B$41:$B$55,MATCH($B64,Settings!$A$41:$A$55,0)),"Check category"))</f>
      </c>
    </row>
    <row r="65" spans="1:7" x14ac:dyDescent="0.25">
      <c r="A65" s="22"/>
      <c r="B65" s="5"/>
      <c r="C65" s="5"/>
      <c r="D65" s="23"/>
      <c r="E65" s="5"/>
      <c r="F65" s="5"/>
      <c r="G65" s="31">
        <f>IF($B65="","",IFERROR(INDEX(Settings!$B$41:$B$55,MATCH($B65,Settings!$A$41:$A$55,0)),"Check category"))</f>
      </c>
    </row>
    <row r="66" spans="1:7" x14ac:dyDescent="0.25">
      <c r="A66" s="22"/>
      <c r="B66" s="5"/>
      <c r="C66" s="5"/>
      <c r="D66" s="23"/>
      <c r="E66" s="5"/>
      <c r="F66" s="5"/>
      <c r="G66" s="31">
        <f>IF($B66="","",IFERROR(INDEX(Settings!$B$41:$B$55,MATCH($B66,Settings!$A$41:$A$55,0)),"Check category"))</f>
      </c>
    </row>
    <row r="67" spans="1:7" x14ac:dyDescent="0.25">
      <c r="A67" s="22"/>
      <c r="B67" s="5"/>
      <c r="C67" s="5"/>
      <c r="D67" s="23"/>
      <c r="E67" s="5"/>
      <c r="F67" s="5"/>
      <c r="G67" s="31">
        <f>IF($B67="","",IFERROR(INDEX(Settings!$B$41:$B$55,MATCH($B67,Settings!$A$41:$A$55,0)),"Check category"))</f>
      </c>
    </row>
    <row r="68" spans="1:7" x14ac:dyDescent="0.25">
      <c r="A68" s="22"/>
      <c r="B68" s="5"/>
      <c r="C68" s="5"/>
      <c r="D68" s="23"/>
      <c r="E68" s="5"/>
      <c r="F68" s="5"/>
      <c r="G68" s="31">
        <f>IF($B68="","",IFERROR(INDEX(Settings!$B$41:$B$55,MATCH($B68,Settings!$A$41:$A$55,0)),"Check category"))</f>
      </c>
    </row>
    <row r="69" spans="1:7" x14ac:dyDescent="0.25">
      <c r="A69" s="22"/>
      <c r="B69" s="5"/>
      <c r="C69" s="5"/>
      <c r="D69" s="23"/>
      <c r="E69" s="5"/>
      <c r="F69" s="5"/>
      <c r="G69" s="31">
        <f>IF($B69="","",IFERROR(INDEX(Settings!$B$41:$B$55,MATCH($B69,Settings!$A$41:$A$55,0)),"Check category"))</f>
      </c>
    </row>
    <row r="70" spans="1:7" x14ac:dyDescent="0.25">
      <c r="A70" s="22"/>
      <c r="B70" s="5"/>
      <c r="C70" s="5"/>
      <c r="D70" s="23"/>
      <c r="E70" s="5"/>
      <c r="F70" s="5"/>
      <c r="G70" s="31">
        <f>IF($B70="","",IFERROR(INDEX(Settings!$B$41:$B$55,MATCH($B70,Settings!$A$41:$A$55,0)),"Check category"))</f>
      </c>
    </row>
    <row r="71" spans="1:7" x14ac:dyDescent="0.25">
      <c r="A71" s="22"/>
      <c r="B71" s="5"/>
      <c r="C71" s="5"/>
      <c r="D71" s="23"/>
      <c r="E71" s="5"/>
      <c r="F71" s="5"/>
      <c r="G71" s="31">
        <f>IF($B71="","",IFERROR(INDEX(Settings!$B$41:$B$55,MATCH($B71,Settings!$A$41:$A$55,0)),"Check category"))</f>
      </c>
    </row>
    <row r="72" spans="1:7" x14ac:dyDescent="0.25">
      <c r="A72" s="22"/>
      <c r="B72" s="5"/>
      <c r="C72" s="5"/>
      <c r="D72" s="23"/>
      <c r="E72" s="5"/>
      <c r="F72" s="5"/>
      <c r="G72" s="31">
        <f>IF($B72="","",IFERROR(INDEX(Settings!$B$41:$B$55,MATCH($B72,Settings!$A$41:$A$55,0)),"Check category"))</f>
      </c>
    </row>
    <row r="73" spans="1:7" x14ac:dyDescent="0.25">
      <c r="A73" s="22"/>
      <c r="B73" s="5"/>
      <c r="C73" s="5"/>
      <c r="D73" s="23"/>
      <c r="E73" s="5"/>
      <c r="F73" s="5"/>
      <c r="G73" s="31">
        <f>IF($B73="","",IFERROR(INDEX(Settings!$B$41:$B$55,MATCH($B73,Settings!$A$41:$A$55,0)),"Check category"))</f>
      </c>
    </row>
    <row r="74" spans="1:7" x14ac:dyDescent="0.25">
      <c r="A74" s="22"/>
      <c r="B74" s="5"/>
      <c r="C74" s="5"/>
      <c r="D74" s="23"/>
      <c r="E74" s="5"/>
      <c r="F74" s="5"/>
      <c r="G74" s="31">
        <f>IF($B74="","",IFERROR(INDEX(Settings!$B$41:$B$55,MATCH($B74,Settings!$A$41:$A$55,0)),"Check category"))</f>
      </c>
    </row>
    <row r="75" spans="1:7" x14ac:dyDescent="0.25">
      <c r="A75" s="22"/>
      <c r="B75" s="5"/>
      <c r="C75" s="5"/>
      <c r="D75" s="23"/>
      <c r="E75" s="5"/>
      <c r="F75" s="5"/>
      <c r="G75" s="31">
        <f>IF($B75="","",IFERROR(INDEX(Settings!$B$41:$B$55,MATCH($B75,Settings!$A$41:$A$55,0)),"Check category"))</f>
      </c>
    </row>
    <row r="76" spans="1:7" x14ac:dyDescent="0.25">
      <c r="A76" s="22"/>
      <c r="B76" s="5"/>
      <c r="C76" s="5"/>
      <c r="D76" s="23"/>
      <c r="E76" s="5"/>
      <c r="F76" s="5"/>
      <c r="G76" s="31">
        <f>IF($B76="","",IFERROR(INDEX(Settings!$B$41:$B$55,MATCH($B76,Settings!$A$41:$A$55,0)),"Check category"))</f>
      </c>
    </row>
    <row r="77" spans="1:7" x14ac:dyDescent="0.25">
      <c r="A77" s="22"/>
      <c r="B77" s="5"/>
      <c r="C77" s="5"/>
      <c r="D77" s="23"/>
      <c r="E77" s="5"/>
      <c r="F77" s="5"/>
      <c r="G77" s="31">
        <f>IF($B77="","",IFERROR(INDEX(Settings!$B$41:$B$55,MATCH($B77,Settings!$A$41:$A$55,0)),"Check category"))</f>
      </c>
    </row>
    <row r="78" spans="1:7" x14ac:dyDescent="0.25">
      <c r="A78" s="22"/>
      <c r="B78" s="5"/>
      <c r="C78" s="5"/>
      <c r="D78" s="23"/>
      <c r="E78" s="5"/>
      <c r="F78" s="5"/>
      <c r="G78" s="31">
        <f>IF($B78="","",IFERROR(INDEX(Settings!$B$41:$B$55,MATCH($B78,Settings!$A$41:$A$55,0)),"Check category"))</f>
      </c>
    </row>
    <row r="79" spans="1:7" x14ac:dyDescent="0.25">
      <c r="A79" s="22"/>
      <c r="B79" s="5"/>
      <c r="C79" s="5"/>
      <c r="D79" s="23"/>
      <c r="E79" s="5"/>
      <c r="F79" s="5"/>
      <c r="G79" s="31">
        <f>IF($B79="","",IFERROR(INDEX(Settings!$B$41:$B$55,MATCH($B79,Settings!$A$41:$A$55,0)),"Check category"))</f>
      </c>
    </row>
    <row r="80" spans="1:7" x14ac:dyDescent="0.25">
      <c r="A80" s="22"/>
      <c r="B80" s="5"/>
      <c r="C80" s="5"/>
      <c r="D80" s="23"/>
      <c r="E80" s="5"/>
      <c r="F80" s="5"/>
      <c r="G80" s="31">
        <f>IF($B80="","",IFERROR(INDEX(Settings!$B$41:$B$55,MATCH($B80,Settings!$A$41:$A$55,0)),"Check category"))</f>
      </c>
    </row>
    <row r="81" spans="1:7" x14ac:dyDescent="0.25">
      <c r="A81" s="22"/>
      <c r="B81" s="5"/>
      <c r="C81" s="5"/>
      <c r="D81" s="23"/>
      <c r="E81" s="5"/>
      <c r="F81" s="5"/>
      <c r="G81" s="31">
        <f>IF($B81="","",IFERROR(INDEX(Settings!$B$41:$B$55,MATCH($B81,Settings!$A$41:$A$55,0)),"Check category"))</f>
      </c>
    </row>
    <row r="82" spans="1:7" x14ac:dyDescent="0.25">
      <c r="A82" s="22"/>
      <c r="B82" s="5"/>
      <c r="C82" s="5"/>
      <c r="D82" s="23"/>
      <c r="E82" s="5"/>
      <c r="F82" s="5"/>
      <c r="G82" s="31">
        <f>IF($B82="","",IFERROR(INDEX(Settings!$B$41:$B$55,MATCH($B82,Settings!$A$41:$A$55,0)),"Check category"))</f>
      </c>
    </row>
    <row r="83" spans="1:7" x14ac:dyDescent="0.25">
      <c r="A83" s="22"/>
      <c r="B83" s="5"/>
      <c r="C83" s="5"/>
      <c r="D83" s="23"/>
      <c r="E83" s="5"/>
      <c r="F83" s="5"/>
      <c r="G83" s="31">
        <f>IF($B83="","",IFERROR(INDEX(Settings!$B$41:$B$55,MATCH($B83,Settings!$A$41:$A$55,0)),"Check category"))</f>
      </c>
    </row>
    <row r="84" spans="1:7" x14ac:dyDescent="0.25">
      <c r="A84" s="22"/>
      <c r="B84" s="5"/>
      <c r="C84" s="5"/>
      <c r="D84" s="23"/>
      <c r="E84" s="5"/>
      <c r="F84" s="5"/>
      <c r="G84" s="31">
        <f>IF($B84="","",IFERROR(INDEX(Settings!$B$41:$B$55,MATCH($B84,Settings!$A$41:$A$55,0)),"Check category"))</f>
      </c>
    </row>
    <row r="85" spans="1:7" x14ac:dyDescent="0.25">
      <c r="A85" s="22"/>
      <c r="B85" s="5"/>
      <c r="C85" s="5"/>
      <c r="D85" s="23"/>
      <c r="E85" s="5"/>
      <c r="F85" s="5"/>
      <c r="G85" s="31">
        <f>IF($B85="","",IFERROR(INDEX(Settings!$B$41:$B$55,MATCH($B85,Settings!$A$41:$A$55,0)),"Check category"))</f>
      </c>
    </row>
    <row r="86" spans="1:7" x14ac:dyDescent="0.25">
      <c r="A86" s="22"/>
      <c r="B86" s="5"/>
      <c r="C86" s="5"/>
      <c r="D86" s="23"/>
      <c r="E86" s="5"/>
      <c r="F86" s="5"/>
      <c r="G86" s="31">
        <f>IF($B86="","",IFERROR(INDEX(Settings!$B$41:$B$55,MATCH($B86,Settings!$A$41:$A$55,0)),"Check category"))</f>
      </c>
    </row>
    <row r="87" spans="1:7" x14ac:dyDescent="0.25">
      <c r="A87" s="22"/>
      <c r="B87" s="5"/>
      <c r="C87" s="5"/>
      <c r="D87" s="23"/>
      <c r="E87" s="5"/>
      <c r="F87" s="5"/>
      <c r="G87" s="31">
        <f>IF($B87="","",IFERROR(INDEX(Settings!$B$41:$B$55,MATCH($B87,Settings!$A$41:$A$55,0)),"Check category"))</f>
      </c>
    </row>
    <row r="88" spans="1:7" x14ac:dyDescent="0.25">
      <c r="A88" s="22"/>
      <c r="B88" s="5"/>
      <c r="C88" s="5"/>
      <c r="D88" s="23"/>
      <c r="E88" s="5"/>
      <c r="F88" s="5"/>
      <c r="G88" s="31">
        <f>IF($B88="","",IFERROR(INDEX(Settings!$B$41:$B$55,MATCH($B88,Settings!$A$41:$A$55,0)),"Check category"))</f>
      </c>
    </row>
    <row r="89" spans="1:7" x14ac:dyDescent="0.25">
      <c r="A89" s="22"/>
      <c r="B89" s="5"/>
      <c r="C89" s="5"/>
      <c r="D89" s="23"/>
      <c r="E89" s="5"/>
      <c r="F89" s="5"/>
      <c r="G89" s="31">
        <f>IF($B89="","",IFERROR(INDEX(Settings!$B$41:$B$55,MATCH($B89,Settings!$A$41:$A$55,0)),"Check category"))</f>
      </c>
    </row>
    <row r="90" spans="1:7" x14ac:dyDescent="0.25">
      <c r="A90" s="22"/>
      <c r="B90" s="5"/>
      <c r="C90" s="5"/>
      <c r="D90" s="23"/>
      <c r="E90" s="5"/>
      <c r="F90" s="5"/>
      <c r="G90" s="31">
        <f>IF($B90="","",IFERROR(INDEX(Settings!$B$41:$B$55,MATCH($B90,Settings!$A$41:$A$55,0)),"Check category"))</f>
      </c>
    </row>
    <row r="91" spans="1:7" x14ac:dyDescent="0.25">
      <c r="A91" s="22"/>
      <c r="B91" s="5"/>
      <c r="C91" s="5"/>
      <c r="D91" s="23"/>
      <c r="E91" s="5"/>
      <c r="F91" s="5"/>
      <c r="G91" s="31">
        <f>IF($B91="","",IFERROR(INDEX(Settings!$B$41:$B$55,MATCH($B91,Settings!$A$41:$A$55,0)),"Check category"))</f>
      </c>
    </row>
    <row r="92" spans="1:7" x14ac:dyDescent="0.25">
      <c r="A92" s="22"/>
      <c r="B92" s="5"/>
      <c r="C92" s="5"/>
      <c r="D92" s="23"/>
      <c r="E92" s="5"/>
      <c r="F92" s="5"/>
      <c r="G92" s="31">
        <f>IF($B92="","",IFERROR(INDEX(Settings!$B$41:$B$55,MATCH($B92,Settings!$A$41:$A$55,0)),"Check category"))</f>
      </c>
    </row>
    <row r="93" spans="1:7" x14ac:dyDescent="0.25">
      <c r="A93" s="22"/>
      <c r="B93" s="5"/>
      <c r="C93" s="5"/>
      <c r="D93" s="23"/>
      <c r="E93" s="5"/>
      <c r="F93" s="5"/>
      <c r="G93" s="31">
        <f>IF($B93="","",IFERROR(INDEX(Settings!$B$41:$B$55,MATCH($B93,Settings!$A$41:$A$55,0)),"Check category"))</f>
      </c>
    </row>
    <row r="94" spans="1:7" x14ac:dyDescent="0.25">
      <c r="A94" s="22"/>
      <c r="B94" s="5"/>
      <c r="C94" s="5"/>
      <c r="D94" s="23"/>
      <c r="E94" s="5"/>
      <c r="F94" s="5"/>
      <c r="G94" s="31">
        <f>IF($B94="","",IFERROR(INDEX(Settings!$B$41:$B$55,MATCH($B94,Settings!$A$41:$A$55,0)),"Check category"))</f>
      </c>
    </row>
    <row r="95" spans="1:7" x14ac:dyDescent="0.25">
      <c r="A95" s="22"/>
      <c r="B95" s="5"/>
      <c r="C95" s="5"/>
      <c r="D95" s="23"/>
      <c r="E95" s="5"/>
      <c r="F95" s="5"/>
      <c r="G95" s="31">
        <f>IF($B95="","",IFERROR(INDEX(Settings!$B$41:$B$55,MATCH($B95,Settings!$A$41:$A$55,0)),"Check category"))</f>
      </c>
    </row>
    <row r="96" spans="1:7" x14ac:dyDescent="0.25">
      <c r="A96" s="22"/>
      <c r="B96" s="5"/>
      <c r="C96" s="5"/>
      <c r="D96" s="23"/>
      <c r="E96" s="5"/>
      <c r="F96" s="5"/>
      <c r="G96" s="31">
        <f>IF($B96="","",IFERROR(INDEX(Settings!$B$41:$B$55,MATCH($B96,Settings!$A$41:$A$55,0)),"Check category"))</f>
      </c>
    </row>
    <row r="97" spans="1:7" x14ac:dyDescent="0.25">
      <c r="A97" s="22"/>
      <c r="B97" s="5"/>
      <c r="C97" s="5"/>
      <c r="D97" s="23"/>
      <c r="E97" s="5"/>
      <c r="F97" s="5"/>
      <c r="G97" s="31">
        <f>IF($B97="","",IFERROR(INDEX(Settings!$B$41:$B$55,MATCH($B97,Settings!$A$41:$A$55,0)),"Check category"))</f>
      </c>
    </row>
    <row r="98" spans="1:7" x14ac:dyDescent="0.25">
      <c r="A98" s="22"/>
      <c r="B98" s="5"/>
      <c r="C98" s="5"/>
      <c r="D98" s="23"/>
      <c r="E98" s="5"/>
      <c r="F98" s="5"/>
      <c r="G98" s="31">
        <f>IF($B98="","",IFERROR(INDEX(Settings!$B$41:$B$55,MATCH($B98,Settings!$A$41:$A$55,0)),"Check category"))</f>
      </c>
    </row>
    <row r="99" spans="1:7" x14ac:dyDescent="0.25">
      <c r="A99" s="22"/>
      <c r="B99" s="5"/>
      <c r="C99" s="5"/>
      <c r="D99" s="23"/>
      <c r="E99" s="5"/>
      <c r="F99" s="5"/>
      <c r="G99" s="31">
        <f>IF($B99="","",IFERROR(INDEX(Settings!$B$41:$B$55,MATCH($B99,Settings!$A$41:$A$55,0)),"Check category"))</f>
      </c>
    </row>
    <row r="100" spans="1:7" x14ac:dyDescent="0.25">
      <c r="A100" s="22"/>
      <c r="B100" s="5"/>
      <c r="C100" s="5"/>
      <c r="D100" s="23"/>
      <c r="E100" s="5"/>
      <c r="F100" s="5"/>
      <c r="G100" s="31">
        <f>IF($B100="","",IFERROR(INDEX(Settings!$B$41:$B$55,MATCH($B100,Settings!$A$41:$A$55,0)),"Check category"))</f>
      </c>
    </row>
    <row r="101" spans="1:7" x14ac:dyDescent="0.25">
      <c r="A101" s="22"/>
      <c r="B101" s="5"/>
      <c r="C101" s="5"/>
      <c r="D101" s="23"/>
      <c r="E101" s="5"/>
      <c r="F101" s="5"/>
      <c r="G101" s="31">
        <f>IF($B101="","",IFERROR(INDEX(Settings!$B$41:$B$55,MATCH($B101,Settings!$A$41:$A$55,0)),"Check category"))</f>
      </c>
    </row>
    <row r="102" spans="1:7" x14ac:dyDescent="0.25">
      <c r="A102" s="22"/>
      <c r="B102" s="5"/>
      <c r="C102" s="5"/>
      <c r="D102" s="23"/>
      <c r="E102" s="5"/>
      <c r="F102" s="5"/>
      <c r="G102" s="31">
        <f>IF($B102="","",IFERROR(INDEX(Settings!$B$41:$B$55,MATCH($B102,Settings!$A$41:$A$55,0)),"Check category"))</f>
      </c>
    </row>
    <row r="103" spans="1:7" x14ac:dyDescent="0.25">
      <c r="A103" s="22"/>
      <c r="B103" s="5"/>
      <c r="C103" s="5"/>
      <c r="D103" s="23"/>
      <c r="E103" s="5"/>
      <c r="F103" s="5"/>
      <c r="G103" s="31">
        <f>IF($B103="","",IFERROR(INDEX(Settings!$B$41:$B$55,MATCH($B103,Settings!$A$41:$A$55,0)),"Check category"))</f>
      </c>
    </row>
    <row r="104" spans="1:7" x14ac:dyDescent="0.25">
      <c r="A104" s="22"/>
      <c r="B104" s="5"/>
      <c r="C104" s="5"/>
      <c r="D104" s="23"/>
      <c r="E104" s="5"/>
      <c r="F104" s="5"/>
      <c r="G104" s="31">
        <f>IF($B104="","",IFERROR(INDEX(Settings!$B$41:$B$55,MATCH($B104,Settings!$A$41:$A$55,0)),"Check category"))</f>
      </c>
    </row>
    <row r="105" spans="1:7" x14ac:dyDescent="0.25">
      <c r="A105" s="22"/>
      <c r="B105" s="5"/>
      <c r="C105" s="5"/>
      <c r="D105" s="23"/>
      <c r="E105" s="5"/>
      <c r="F105" s="5"/>
      <c r="G105" s="31">
        <f>IF($B105="","",IFERROR(INDEX(Settings!$B$41:$B$55,MATCH($B105,Settings!$A$41:$A$55,0)),"Check category"))</f>
      </c>
    </row>
    <row r="106" spans="1:7" x14ac:dyDescent="0.25">
      <c r="A106" s="22"/>
      <c r="B106" s="5"/>
      <c r="C106" s="5"/>
      <c r="D106" s="23"/>
      <c r="E106" s="5"/>
      <c r="F106" s="5"/>
      <c r="G106" s="31">
        <f>IF($B106="","",IFERROR(INDEX(Settings!$B$41:$B$55,MATCH($B106,Settings!$A$41:$A$55,0)),"Check category"))</f>
      </c>
    </row>
    <row r="107" spans="1:7" x14ac:dyDescent="0.25">
      <c r="A107" s="22"/>
      <c r="B107" s="5"/>
      <c r="C107" s="5"/>
      <c r="D107" s="23"/>
      <c r="E107" s="5"/>
      <c r="F107" s="5"/>
      <c r="G107" s="31">
        <f>IF($B107="","",IFERROR(INDEX(Settings!$B$41:$B$55,MATCH($B107,Settings!$A$41:$A$55,0)),"Check category"))</f>
      </c>
    </row>
    <row r="108" spans="1:7" x14ac:dyDescent="0.25">
      <c r="A108" s="22"/>
      <c r="B108" s="5"/>
      <c r="C108" s="5"/>
      <c r="D108" s="23"/>
      <c r="E108" s="5"/>
      <c r="F108" s="5"/>
      <c r="G108" s="31">
        <f>IF($B108="","",IFERROR(INDEX(Settings!$B$41:$B$55,MATCH($B108,Settings!$A$41:$A$55,0)),"Check category"))</f>
      </c>
    </row>
    <row r="109" spans="1:7" x14ac:dyDescent="0.25">
      <c r="A109" s="22"/>
      <c r="B109" s="5"/>
      <c r="C109" s="5"/>
      <c r="D109" s="23"/>
      <c r="E109" s="5"/>
      <c r="F109" s="5"/>
      <c r="G109" s="31">
        <f>IF($B109="","",IFERROR(INDEX(Settings!$B$41:$B$55,MATCH($B109,Settings!$A$41:$A$55,0)),"Check category"))</f>
      </c>
    </row>
    <row r="110" spans="1:7" x14ac:dyDescent="0.25">
      <c r="A110" s="22"/>
      <c r="B110" s="5"/>
      <c r="C110" s="5"/>
      <c r="D110" s="23"/>
      <c r="E110" s="5"/>
      <c r="F110" s="5"/>
      <c r="G110" s="31">
        <f>IF($B110="","",IFERROR(INDEX(Settings!$B$41:$B$55,MATCH($B110,Settings!$A$41:$A$55,0)),"Check category"))</f>
      </c>
    </row>
    <row r="111" spans="1:7" x14ac:dyDescent="0.25">
      <c r="A111" s="22"/>
      <c r="B111" s="5"/>
      <c r="C111" s="5"/>
      <c r="D111" s="23"/>
      <c r="E111" s="5"/>
      <c r="F111" s="5"/>
      <c r="G111" s="31">
        <f>IF($B111="","",IFERROR(INDEX(Settings!$B$41:$B$55,MATCH($B111,Settings!$A$41:$A$55,0)),"Check category"))</f>
      </c>
    </row>
    <row r="112" spans="1:7" x14ac:dyDescent="0.25">
      <c r="A112" s="22"/>
      <c r="B112" s="5"/>
      <c r="C112" s="5"/>
      <c r="D112" s="23"/>
      <c r="E112" s="5"/>
      <c r="F112" s="5"/>
      <c r="G112" s="31">
        <f>IF($B112="","",IFERROR(INDEX(Settings!$B$41:$B$55,MATCH($B112,Settings!$A$41:$A$55,0)),"Check category"))</f>
      </c>
    </row>
    <row r="113" spans="1:7" x14ac:dyDescent="0.25">
      <c r="A113" s="22"/>
      <c r="B113" s="5"/>
      <c r="C113" s="5"/>
      <c r="D113" s="23"/>
      <c r="E113" s="5"/>
      <c r="F113" s="5"/>
      <c r="G113" s="31">
        <f>IF($B113="","",IFERROR(INDEX(Settings!$B$41:$B$55,MATCH($B113,Settings!$A$41:$A$55,0)),"Check category"))</f>
      </c>
    </row>
    <row r="114" spans="1:7" x14ac:dyDescent="0.25">
      <c r="A114" s="22"/>
      <c r="B114" s="5"/>
      <c r="C114" s="5"/>
      <c r="D114" s="23"/>
      <c r="E114" s="5"/>
      <c r="F114" s="5"/>
      <c r="G114" s="31">
        <f>IF($B114="","",IFERROR(INDEX(Settings!$B$41:$B$55,MATCH($B114,Settings!$A$41:$A$55,0)),"Check category"))</f>
      </c>
    </row>
    <row r="115" spans="1:7" x14ac:dyDescent="0.25">
      <c r="A115" s="22"/>
      <c r="B115" s="5"/>
      <c r="C115" s="5"/>
      <c r="D115" s="23"/>
      <c r="E115" s="5"/>
      <c r="F115" s="5"/>
      <c r="G115" s="31">
        <f>IF($B115="","",IFERROR(INDEX(Settings!$B$41:$B$55,MATCH($B115,Settings!$A$41:$A$55,0)),"Check category"))</f>
      </c>
    </row>
    <row r="116" spans="1:7" x14ac:dyDescent="0.25">
      <c r="A116" s="22"/>
      <c r="B116" s="5"/>
      <c r="C116" s="5"/>
      <c r="D116" s="23"/>
      <c r="E116" s="5"/>
      <c r="F116" s="5"/>
      <c r="G116" s="31">
        <f>IF($B116="","",IFERROR(INDEX(Settings!$B$41:$B$55,MATCH($B116,Settings!$A$41:$A$55,0)),"Check category"))</f>
      </c>
    </row>
    <row r="117" spans="1:7" x14ac:dyDescent="0.25">
      <c r="A117" s="22"/>
      <c r="B117" s="5"/>
      <c r="C117" s="5"/>
      <c r="D117" s="23"/>
      <c r="E117" s="5"/>
      <c r="F117" s="5"/>
      <c r="G117" s="31">
        <f>IF($B117="","",IFERROR(INDEX(Settings!$B$41:$B$55,MATCH($B117,Settings!$A$41:$A$55,0)),"Check category"))</f>
      </c>
    </row>
    <row r="118" spans="1:7" x14ac:dyDescent="0.25">
      <c r="A118" s="22"/>
      <c r="B118" s="5"/>
      <c r="C118" s="5"/>
      <c r="D118" s="23"/>
      <c r="E118" s="5"/>
      <c r="F118" s="5"/>
      <c r="G118" s="31">
        <f>IF($B118="","",IFERROR(INDEX(Settings!$B$41:$B$55,MATCH($B118,Settings!$A$41:$A$55,0)),"Check category"))</f>
      </c>
    </row>
    <row r="119" spans="1:7" x14ac:dyDescent="0.25">
      <c r="A119" s="22"/>
      <c r="B119" s="5"/>
      <c r="C119" s="5"/>
      <c r="D119" s="23"/>
      <c r="E119" s="5"/>
      <c r="F119" s="5"/>
      <c r="G119" s="31">
        <f>IF($B119="","",IFERROR(INDEX(Settings!$B$41:$B$55,MATCH($B119,Settings!$A$41:$A$55,0)),"Check category"))</f>
      </c>
    </row>
    <row r="120" spans="1:7" x14ac:dyDescent="0.25">
      <c r="A120" s="22"/>
      <c r="B120" s="5"/>
      <c r="C120" s="5"/>
      <c r="D120" s="23"/>
      <c r="E120" s="5"/>
      <c r="F120" s="5"/>
      <c r="G120" s="31">
        <f>IF($B120="","",IFERROR(INDEX(Settings!$B$41:$B$55,MATCH($B120,Settings!$A$41:$A$55,0)),"Check category"))</f>
      </c>
    </row>
    <row r="121" spans="1:7" x14ac:dyDescent="0.25">
      <c r="A121" s="22"/>
      <c r="B121" s="5"/>
      <c r="C121" s="5"/>
      <c r="D121" s="23"/>
      <c r="E121" s="5"/>
      <c r="F121" s="5"/>
      <c r="G121" s="31">
        <f>IF($B121="","",IFERROR(INDEX(Settings!$B$41:$B$55,MATCH($B121,Settings!$A$41:$A$55,0)),"Check category"))</f>
      </c>
    </row>
    <row r="122" spans="1:7" x14ac:dyDescent="0.25">
      <c r="A122" s="22"/>
      <c r="B122" s="5"/>
      <c r="C122" s="5"/>
      <c r="D122" s="23"/>
      <c r="E122" s="5"/>
      <c r="F122" s="5"/>
      <c r="G122" s="31">
        <f>IF($B122="","",IFERROR(INDEX(Settings!$B$41:$B$55,MATCH($B122,Settings!$A$41:$A$55,0)),"Check category"))</f>
      </c>
    </row>
    <row r="123" spans="1:7" x14ac:dyDescent="0.25">
      <c r="A123" s="22"/>
      <c r="B123" s="5"/>
      <c r="C123" s="5"/>
      <c r="D123" s="23"/>
      <c r="E123" s="5"/>
      <c r="F123" s="5"/>
      <c r="G123" s="31">
        <f>IF($B123="","",IFERROR(INDEX(Settings!$B$41:$B$55,MATCH($B123,Settings!$A$41:$A$55,0)),"Check category"))</f>
      </c>
    </row>
    <row r="124" spans="1:7" x14ac:dyDescent="0.25">
      <c r="A124" s="22"/>
      <c r="B124" s="5"/>
      <c r="C124" s="5"/>
      <c r="D124" s="23"/>
      <c r="E124" s="5"/>
      <c r="F124" s="5"/>
      <c r="G124" s="31">
        <f>IF($B124="","",IFERROR(INDEX(Settings!$B$41:$B$55,MATCH($B124,Settings!$A$41:$A$55,0)),"Check category"))</f>
      </c>
    </row>
    <row r="125" spans="1:7" x14ac:dyDescent="0.25">
      <c r="A125" s="22"/>
      <c r="B125" s="5"/>
      <c r="C125" s="5"/>
      <c r="D125" s="23"/>
      <c r="E125" s="5"/>
      <c r="F125" s="5"/>
      <c r="G125" s="31">
        <f>IF($B125="","",IFERROR(INDEX(Settings!$B$41:$B$55,MATCH($B125,Settings!$A$41:$A$55,0)),"Check category"))</f>
      </c>
    </row>
    <row r="126" spans="1:7" x14ac:dyDescent="0.25">
      <c r="A126" s="22"/>
      <c r="B126" s="5"/>
      <c r="C126" s="5"/>
      <c r="D126" s="23"/>
      <c r="E126" s="5"/>
      <c r="F126" s="5"/>
      <c r="G126" s="31">
        <f>IF($B126="","",IFERROR(INDEX(Settings!$B$41:$B$55,MATCH($B126,Settings!$A$41:$A$55,0)),"Check category"))</f>
      </c>
    </row>
    <row r="127" spans="1:7" x14ac:dyDescent="0.25">
      <c r="A127" s="22"/>
      <c r="B127" s="5"/>
      <c r="C127" s="5"/>
      <c r="D127" s="23"/>
      <c r="E127" s="5"/>
      <c r="F127" s="5"/>
      <c r="G127" s="31">
        <f>IF($B127="","",IFERROR(INDEX(Settings!$B$41:$B$55,MATCH($B127,Settings!$A$41:$A$55,0)),"Check category"))</f>
      </c>
    </row>
    <row r="128" spans="1:7" x14ac:dyDescent="0.25">
      <c r="A128" s="22"/>
      <c r="B128" s="5"/>
      <c r="C128" s="5"/>
      <c r="D128" s="23"/>
      <c r="E128" s="5"/>
      <c r="F128" s="5"/>
      <c r="G128" s="31">
        <f>IF($B128="","",IFERROR(INDEX(Settings!$B$41:$B$55,MATCH($B128,Settings!$A$41:$A$55,0)),"Check category"))</f>
      </c>
    </row>
    <row r="129" spans="1:7" x14ac:dyDescent="0.25">
      <c r="A129" s="22"/>
      <c r="B129" s="5"/>
      <c r="C129" s="5"/>
      <c r="D129" s="23"/>
      <c r="E129" s="5"/>
      <c r="F129" s="5"/>
      <c r="G129" s="31">
        <f>IF($B129="","",IFERROR(INDEX(Settings!$B$41:$B$55,MATCH($B129,Settings!$A$41:$A$55,0)),"Check category"))</f>
      </c>
    </row>
    <row r="130" spans="1:7" x14ac:dyDescent="0.25">
      <c r="A130" s="22"/>
      <c r="B130" s="5"/>
      <c r="C130" s="5"/>
      <c r="D130" s="23"/>
      <c r="E130" s="5"/>
      <c r="F130" s="5"/>
      <c r="G130" s="31">
        <f>IF($B130="","",IFERROR(INDEX(Settings!$B$41:$B$55,MATCH($B130,Settings!$A$41:$A$55,0)),"Check category"))</f>
      </c>
    </row>
    <row r="131" spans="1:7" x14ac:dyDescent="0.25">
      <c r="A131" s="22"/>
      <c r="B131" s="5"/>
      <c r="C131" s="5"/>
      <c r="D131" s="23"/>
      <c r="E131" s="5"/>
      <c r="F131" s="5"/>
      <c r="G131" s="31">
        <f>IF($B131="","",IFERROR(INDEX(Settings!$B$41:$B$55,MATCH($B131,Settings!$A$41:$A$55,0)),"Check category"))</f>
      </c>
    </row>
    <row r="132" spans="1:7" x14ac:dyDescent="0.25">
      <c r="A132" s="22"/>
      <c r="B132" s="5"/>
      <c r="C132" s="5"/>
      <c r="D132" s="23"/>
      <c r="E132" s="5"/>
      <c r="F132" s="5"/>
      <c r="G132" s="31">
        <f>IF($B132="","",IFERROR(INDEX(Settings!$B$41:$B$55,MATCH($B132,Settings!$A$41:$A$55,0)),"Check category"))</f>
      </c>
    </row>
    <row r="133" spans="1:7" x14ac:dyDescent="0.25">
      <c r="A133" s="22"/>
      <c r="B133" s="5"/>
      <c r="C133" s="5"/>
      <c r="D133" s="23"/>
      <c r="E133" s="5"/>
      <c r="F133" s="5"/>
      <c r="G133" s="31">
        <f>IF($B133="","",IFERROR(INDEX(Settings!$B$41:$B$55,MATCH($B133,Settings!$A$41:$A$55,0)),"Check category"))</f>
      </c>
    </row>
    <row r="134" spans="1:7" x14ac:dyDescent="0.25">
      <c r="A134" s="22"/>
      <c r="B134" s="5"/>
      <c r="C134" s="5"/>
      <c r="D134" s="23"/>
      <c r="E134" s="5"/>
      <c r="F134" s="5"/>
      <c r="G134" s="31">
        <f>IF($B134="","",IFERROR(INDEX(Settings!$B$41:$B$55,MATCH($B134,Settings!$A$41:$A$55,0)),"Check category"))</f>
      </c>
    </row>
    <row r="135" spans="1:7" x14ac:dyDescent="0.25">
      <c r="A135" s="22"/>
      <c r="B135" s="5"/>
      <c r="C135" s="5"/>
      <c r="D135" s="23"/>
      <c r="E135" s="5"/>
      <c r="F135" s="5"/>
      <c r="G135" s="31">
        <f>IF($B135="","",IFERROR(INDEX(Settings!$B$41:$B$55,MATCH($B135,Settings!$A$41:$A$55,0)),"Check category"))</f>
      </c>
    </row>
    <row r="136" spans="1:7" x14ac:dyDescent="0.25">
      <c r="A136" s="22"/>
      <c r="B136" s="5"/>
      <c r="C136" s="5"/>
      <c r="D136" s="23"/>
      <c r="E136" s="5"/>
      <c r="F136" s="5"/>
      <c r="G136" s="31">
        <f>IF($B136="","",IFERROR(INDEX(Settings!$B$41:$B$55,MATCH($B136,Settings!$A$41:$A$55,0)),"Check category"))</f>
      </c>
    </row>
    <row r="137" spans="1:7" x14ac:dyDescent="0.25">
      <c r="A137" s="22"/>
      <c r="B137" s="5"/>
      <c r="C137" s="5"/>
      <c r="D137" s="23"/>
      <c r="E137" s="5"/>
      <c r="F137" s="5"/>
      <c r="G137" s="31">
        <f>IF($B137="","",IFERROR(INDEX(Settings!$B$41:$B$55,MATCH($B137,Settings!$A$41:$A$55,0)),"Check category"))</f>
      </c>
    </row>
    <row r="138" spans="1:7" x14ac:dyDescent="0.25">
      <c r="A138" s="22"/>
      <c r="B138" s="5"/>
      <c r="C138" s="5"/>
      <c r="D138" s="23"/>
      <c r="E138" s="5"/>
      <c r="F138" s="5"/>
      <c r="G138" s="31">
        <f>IF($B138="","",IFERROR(INDEX(Settings!$B$41:$B$55,MATCH($B138,Settings!$A$41:$A$55,0)),"Check category"))</f>
      </c>
    </row>
    <row r="139" spans="1:7" x14ac:dyDescent="0.25">
      <c r="A139" s="22"/>
      <c r="B139" s="5"/>
      <c r="C139" s="5"/>
      <c r="D139" s="23"/>
      <c r="E139" s="5"/>
      <c r="F139" s="5"/>
      <c r="G139" s="31">
        <f>IF($B139="","",IFERROR(INDEX(Settings!$B$41:$B$55,MATCH($B139,Settings!$A$41:$A$55,0)),"Check category"))</f>
      </c>
    </row>
    <row r="140" spans="1:7" x14ac:dyDescent="0.25">
      <c r="A140" s="22"/>
      <c r="B140" s="5"/>
      <c r="C140" s="5"/>
      <c r="D140" s="23"/>
      <c r="E140" s="5"/>
      <c r="F140" s="5"/>
      <c r="G140" s="31">
        <f>IF($B140="","",IFERROR(INDEX(Settings!$B$41:$B$55,MATCH($B140,Settings!$A$41:$A$55,0)),"Check category"))</f>
      </c>
    </row>
    <row r="141" spans="1:7" x14ac:dyDescent="0.25">
      <c r="A141" s="22"/>
      <c r="B141" s="5"/>
      <c r="C141" s="5"/>
      <c r="D141" s="23"/>
      <c r="E141" s="5"/>
      <c r="F141" s="5"/>
      <c r="G141" s="31">
        <f>IF($B141="","",IFERROR(INDEX(Settings!$B$41:$B$55,MATCH($B141,Settings!$A$41:$A$55,0)),"Check category"))</f>
      </c>
    </row>
    <row r="142" spans="1:7" x14ac:dyDescent="0.25">
      <c r="A142" s="22"/>
      <c r="B142" s="5"/>
      <c r="C142" s="5"/>
      <c r="D142" s="23"/>
      <c r="E142" s="5"/>
      <c r="F142" s="5"/>
      <c r="G142" s="31">
        <f>IF($B142="","",IFERROR(INDEX(Settings!$B$41:$B$55,MATCH($B142,Settings!$A$41:$A$55,0)),"Check category"))</f>
      </c>
    </row>
    <row r="143" spans="1:7" x14ac:dyDescent="0.25">
      <c r="A143" s="22"/>
      <c r="B143" s="5"/>
      <c r="C143" s="5"/>
      <c r="D143" s="23"/>
      <c r="E143" s="5"/>
      <c r="F143" s="5"/>
      <c r="G143" s="31">
        <f>IF($B143="","",IFERROR(INDEX(Settings!$B$41:$B$55,MATCH($B143,Settings!$A$41:$A$55,0)),"Check category"))</f>
      </c>
    </row>
    <row r="144" spans="1:7" x14ac:dyDescent="0.25">
      <c r="A144" s="22"/>
      <c r="B144" s="5"/>
      <c r="C144" s="5"/>
      <c r="D144" s="23"/>
      <c r="E144" s="5"/>
      <c r="F144" s="5"/>
      <c r="G144" s="31">
        <f>IF($B144="","",IFERROR(INDEX(Settings!$B$41:$B$55,MATCH($B144,Settings!$A$41:$A$55,0)),"Check category"))</f>
      </c>
    </row>
    <row r="145" spans="1:7" x14ac:dyDescent="0.25">
      <c r="A145" s="22"/>
      <c r="B145" s="5"/>
      <c r="C145" s="5"/>
      <c r="D145" s="23"/>
      <c r="E145" s="5"/>
      <c r="F145" s="5"/>
      <c r="G145" s="31">
        <f>IF($B145="","",IFERROR(INDEX(Settings!$B$41:$B$55,MATCH($B145,Settings!$A$41:$A$55,0)),"Check category"))</f>
      </c>
    </row>
    <row r="146" spans="1:7" x14ac:dyDescent="0.25">
      <c r="A146" s="22"/>
      <c r="B146" s="5"/>
      <c r="C146" s="5"/>
      <c r="D146" s="23"/>
      <c r="E146" s="5"/>
      <c r="F146" s="5"/>
      <c r="G146" s="31">
        <f>IF($B146="","",IFERROR(INDEX(Settings!$B$41:$B$55,MATCH($B146,Settings!$A$41:$A$55,0)),"Check category"))</f>
      </c>
    </row>
    <row r="147" spans="1:7" x14ac:dyDescent="0.25">
      <c r="A147" s="22"/>
      <c r="B147" s="5"/>
      <c r="C147" s="5"/>
      <c r="D147" s="23"/>
      <c r="E147" s="5"/>
      <c r="F147" s="5"/>
      <c r="G147" s="31">
        <f>IF($B147="","",IFERROR(INDEX(Settings!$B$41:$B$55,MATCH($B147,Settings!$A$41:$A$55,0)),"Check category"))</f>
      </c>
    </row>
    <row r="148" spans="1:7" x14ac:dyDescent="0.25">
      <c r="A148" s="22"/>
      <c r="B148" s="5"/>
      <c r="C148" s="5"/>
      <c r="D148" s="23"/>
      <c r="E148" s="5"/>
      <c r="F148" s="5"/>
      <c r="G148" s="31">
        <f>IF($B148="","",IFERROR(INDEX(Settings!$B$41:$B$55,MATCH($B148,Settings!$A$41:$A$55,0)),"Check category"))</f>
      </c>
    </row>
    <row r="149" spans="1:7" x14ac:dyDescent="0.25">
      <c r="A149" s="22"/>
      <c r="B149" s="5"/>
      <c r="C149" s="5"/>
      <c r="D149" s="23"/>
      <c r="E149" s="5"/>
      <c r="F149" s="5"/>
      <c r="G149" s="31">
        <f>IF($B149="","",IFERROR(INDEX(Settings!$B$41:$B$55,MATCH($B149,Settings!$A$41:$A$55,0)),"Check category"))</f>
      </c>
    </row>
    <row r="150" spans="1:7" x14ac:dyDescent="0.25">
      <c r="A150" s="22"/>
      <c r="B150" s="5"/>
      <c r="C150" s="5"/>
      <c r="D150" s="23"/>
      <c r="E150" s="5"/>
      <c r="F150" s="5"/>
      <c r="G150" s="31">
        <f>IF($B150="","",IFERROR(INDEX(Settings!$B$41:$B$55,MATCH($B150,Settings!$A$41:$A$55,0)),"Check category"))</f>
      </c>
    </row>
    <row r="151" spans="1:7" x14ac:dyDescent="0.25">
      <c r="A151" s="22"/>
      <c r="B151" s="5"/>
      <c r="C151" s="5"/>
      <c r="D151" s="23"/>
      <c r="E151" s="5"/>
      <c r="F151" s="5"/>
      <c r="G151" s="31">
        <f>IF($B151="","",IFERROR(INDEX(Settings!$B$41:$B$55,MATCH($B151,Settings!$A$41:$A$55,0)),"Check category"))</f>
      </c>
    </row>
    <row r="152" spans="1:7" x14ac:dyDescent="0.25">
      <c r="A152" s="22"/>
      <c r="B152" s="5"/>
      <c r="C152" s="5"/>
      <c r="D152" s="23"/>
      <c r="E152" s="5"/>
      <c r="F152" s="5"/>
      <c r="G152" s="31">
        <f>IF($B152="","",IFERROR(INDEX(Settings!$B$41:$B$55,MATCH($B152,Settings!$A$41:$A$55,0)),"Check category"))</f>
      </c>
    </row>
    <row r="153" spans="1:7" x14ac:dyDescent="0.25">
      <c r="A153" s="22"/>
      <c r="B153" s="5"/>
      <c r="C153" s="5"/>
      <c r="D153" s="23"/>
      <c r="E153" s="5"/>
      <c r="F153" s="5"/>
      <c r="G153" s="31">
        <f>IF($B153="","",IFERROR(INDEX(Settings!$B$41:$B$55,MATCH($B153,Settings!$A$41:$A$55,0)),"Check category"))</f>
      </c>
    </row>
    <row r="154" spans="1:7" x14ac:dyDescent="0.25">
      <c r="A154" s="22"/>
      <c r="B154" s="5"/>
      <c r="C154" s="5"/>
      <c r="D154" s="23"/>
      <c r="E154" s="5"/>
      <c r="F154" s="5"/>
      <c r="G154" s="31">
        <f>IF($B154="","",IFERROR(INDEX(Settings!$B$41:$B$55,MATCH($B154,Settings!$A$41:$A$55,0)),"Check category"))</f>
      </c>
    </row>
    <row r="155" spans="1:7" x14ac:dyDescent="0.25">
      <c r="A155" s="22"/>
      <c r="B155" s="5"/>
      <c r="C155" s="5"/>
      <c r="D155" s="23"/>
      <c r="E155" s="5"/>
      <c r="F155" s="5"/>
      <c r="G155" s="31">
        <f>IF($B155="","",IFERROR(INDEX(Settings!$B$41:$B$55,MATCH($B155,Settings!$A$41:$A$55,0)),"Check category"))</f>
      </c>
    </row>
    <row r="156" spans="1:7" x14ac:dyDescent="0.25">
      <c r="A156" s="22"/>
      <c r="B156" s="5"/>
      <c r="C156" s="5"/>
      <c r="D156" s="23"/>
      <c r="E156" s="5"/>
      <c r="F156" s="5"/>
      <c r="G156" s="31">
        <f>IF($B156="","",IFERROR(INDEX(Settings!$B$41:$B$55,MATCH($B156,Settings!$A$41:$A$55,0)),"Check category"))</f>
      </c>
    </row>
    <row r="157" spans="1:7" x14ac:dyDescent="0.25">
      <c r="A157" s="22"/>
      <c r="B157" s="5"/>
      <c r="C157" s="5"/>
      <c r="D157" s="23"/>
      <c r="E157" s="5"/>
      <c r="F157" s="5"/>
      <c r="G157" s="31">
        <f>IF($B157="","",IFERROR(INDEX(Settings!$B$41:$B$55,MATCH($B157,Settings!$A$41:$A$55,0)),"Check category"))</f>
      </c>
    </row>
    <row r="158" spans="1:7" x14ac:dyDescent="0.25">
      <c r="A158" s="22"/>
      <c r="B158" s="5"/>
      <c r="C158" s="5"/>
      <c r="D158" s="23"/>
      <c r="E158" s="5"/>
      <c r="F158" s="5"/>
      <c r="G158" s="31">
        <f>IF($B158="","",IFERROR(INDEX(Settings!$B$41:$B$55,MATCH($B158,Settings!$A$41:$A$55,0)),"Check category"))</f>
      </c>
    </row>
    <row r="159" spans="1:7" x14ac:dyDescent="0.25">
      <c r="A159" s="22"/>
      <c r="B159" s="5"/>
      <c r="C159" s="5"/>
      <c r="D159" s="23"/>
      <c r="E159" s="5"/>
      <c r="F159" s="5"/>
      <c r="G159" s="31">
        <f>IF($B159="","",IFERROR(INDEX(Settings!$B$41:$B$55,MATCH($B159,Settings!$A$41:$A$55,0)),"Check category"))</f>
      </c>
    </row>
    <row r="160" spans="1:7" x14ac:dyDescent="0.25">
      <c r="A160" s="22"/>
      <c r="B160" s="5"/>
      <c r="C160" s="5"/>
      <c r="D160" s="23"/>
      <c r="E160" s="5"/>
      <c r="F160" s="5"/>
      <c r="G160" s="31">
        <f>IF($B160="","",IFERROR(INDEX(Settings!$B$41:$B$55,MATCH($B160,Settings!$A$41:$A$55,0)),"Check category"))</f>
      </c>
    </row>
    <row r="161" spans="1:7" x14ac:dyDescent="0.25">
      <c r="A161" s="22"/>
      <c r="B161" s="5"/>
      <c r="C161" s="5"/>
      <c r="D161" s="23"/>
      <c r="E161" s="5"/>
      <c r="F161" s="5"/>
      <c r="G161" s="31">
        <f>IF($B161="","",IFERROR(INDEX(Settings!$B$41:$B$55,MATCH($B161,Settings!$A$41:$A$55,0)),"Check category"))</f>
      </c>
    </row>
    <row r="162" spans="1:7" x14ac:dyDescent="0.25">
      <c r="A162" s="22"/>
      <c r="B162" s="5"/>
      <c r="C162" s="5"/>
      <c r="D162" s="23"/>
      <c r="E162" s="5"/>
      <c r="F162" s="5"/>
      <c r="G162" s="31">
        <f>IF($B162="","",IFERROR(INDEX(Settings!$B$41:$B$55,MATCH($B162,Settings!$A$41:$A$55,0)),"Check category"))</f>
      </c>
    </row>
    <row r="163" spans="1:7" x14ac:dyDescent="0.25">
      <c r="A163" s="22"/>
      <c r="B163" s="5"/>
      <c r="C163" s="5"/>
      <c r="D163" s="23"/>
      <c r="E163" s="5"/>
      <c r="F163" s="5"/>
      <c r="G163" s="31">
        <f>IF($B163="","",IFERROR(INDEX(Settings!$B$41:$B$55,MATCH($B163,Settings!$A$41:$A$55,0)),"Check category"))</f>
      </c>
    </row>
    <row r="164" spans="1:7" x14ac:dyDescent="0.25">
      <c r="A164" s="22"/>
      <c r="B164" s="5"/>
      <c r="C164" s="5"/>
      <c r="D164" s="23"/>
      <c r="E164" s="5"/>
      <c r="F164" s="5"/>
      <c r="G164" s="31">
        <f>IF($B164="","",IFERROR(INDEX(Settings!$B$41:$B$55,MATCH($B164,Settings!$A$41:$A$55,0)),"Check category"))</f>
      </c>
    </row>
    <row r="165" spans="1:7" x14ac:dyDescent="0.25">
      <c r="A165" s="22"/>
      <c r="B165" s="5"/>
      <c r="C165" s="5"/>
      <c r="D165" s="23"/>
      <c r="E165" s="5"/>
      <c r="F165" s="5"/>
      <c r="G165" s="31">
        <f>IF($B165="","",IFERROR(INDEX(Settings!$B$41:$B$55,MATCH($B165,Settings!$A$41:$A$55,0)),"Check category"))</f>
      </c>
    </row>
    <row r="166" spans="1:7" x14ac:dyDescent="0.25">
      <c r="A166" s="22"/>
      <c r="B166" s="5"/>
      <c r="C166" s="5"/>
      <c r="D166" s="23"/>
      <c r="E166" s="5"/>
      <c r="F166" s="5"/>
      <c r="G166" s="31">
        <f>IF($B166="","",IFERROR(INDEX(Settings!$B$41:$B$55,MATCH($B166,Settings!$A$41:$A$55,0)),"Check category"))</f>
      </c>
    </row>
    <row r="167" spans="1:7" x14ac:dyDescent="0.25">
      <c r="A167" s="22"/>
      <c r="B167" s="5"/>
      <c r="C167" s="5"/>
      <c r="D167" s="23"/>
      <c r="E167" s="5"/>
      <c r="F167" s="5"/>
      <c r="G167" s="31">
        <f>IF($B167="","",IFERROR(INDEX(Settings!$B$41:$B$55,MATCH($B167,Settings!$A$41:$A$55,0)),"Check category"))</f>
      </c>
    </row>
    <row r="168" spans="1:7" x14ac:dyDescent="0.25">
      <c r="A168" s="22"/>
      <c r="B168" s="5"/>
      <c r="C168" s="5"/>
      <c r="D168" s="23"/>
      <c r="E168" s="5"/>
      <c r="F168" s="5"/>
      <c r="G168" s="31">
        <f>IF($B168="","",IFERROR(INDEX(Settings!$B$41:$B$55,MATCH($B168,Settings!$A$41:$A$55,0)),"Check category"))</f>
      </c>
    </row>
    <row r="169" spans="1:7" x14ac:dyDescent="0.25">
      <c r="A169" s="22"/>
      <c r="B169" s="5"/>
      <c r="C169" s="5"/>
      <c r="D169" s="23"/>
      <c r="E169" s="5"/>
      <c r="F169" s="5"/>
      <c r="G169" s="31">
        <f>IF($B169="","",IFERROR(INDEX(Settings!$B$41:$B$55,MATCH($B169,Settings!$A$41:$A$55,0)),"Check category"))</f>
      </c>
    </row>
    <row r="170" spans="1:7" x14ac:dyDescent="0.25">
      <c r="A170" s="22"/>
      <c r="B170" s="5"/>
      <c r="C170" s="5"/>
      <c r="D170" s="23"/>
      <c r="E170" s="5"/>
      <c r="F170" s="5"/>
      <c r="G170" s="31">
        <f>IF($B170="","",IFERROR(INDEX(Settings!$B$41:$B$55,MATCH($B170,Settings!$A$41:$A$55,0)),"Check category"))</f>
      </c>
    </row>
    <row r="171" spans="1:7" x14ac:dyDescent="0.25">
      <c r="A171" s="22"/>
      <c r="B171" s="5"/>
      <c r="C171" s="5"/>
      <c r="D171" s="23"/>
      <c r="E171" s="5"/>
      <c r="F171" s="5"/>
      <c r="G171" s="31">
        <f>IF($B171="","",IFERROR(INDEX(Settings!$B$41:$B$55,MATCH($B171,Settings!$A$41:$A$55,0)),"Check category"))</f>
      </c>
    </row>
    <row r="172" spans="1:7" x14ac:dyDescent="0.25">
      <c r="A172" s="22"/>
      <c r="B172" s="5"/>
      <c r="C172" s="5"/>
      <c r="D172" s="23"/>
      <c r="E172" s="5"/>
      <c r="F172" s="5"/>
      <c r="G172" s="31">
        <f>IF($B172="","",IFERROR(INDEX(Settings!$B$41:$B$55,MATCH($B172,Settings!$A$41:$A$55,0)),"Check category"))</f>
      </c>
    </row>
    <row r="173" spans="1:7" x14ac:dyDescent="0.25">
      <c r="A173" s="22"/>
      <c r="B173" s="5"/>
      <c r="C173" s="5"/>
      <c r="D173" s="23"/>
      <c r="E173" s="5"/>
      <c r="F173" s="5"/>
      <c r="G173" s="31">
        <f>IF($B173="","",IFERROR(INDEX(Settings!$B$41:$B$55,MATCH($B173,Settings!$A$41:$A$55,0)),"Check category"))</f>
      </c>
    </row>
    <row r="174" spans="1:7" x14ac:dyDescent="0.25">
      <c r="A174" s="22"/>
      <c r="B174" s="5"/>
      <c r="C174" s="5"/>
      <c r="D174" s="23"/>
      <c r="E174" s="5"/>
      <c r="F174" s="5"/>
      <c r="G174" s="31">
        <f>IF($B174="","",IFERROR(INDEX(Settings!$B$41:$B$55,MATCH($B174,Settings!$A$41:$A$55,0)),"Check category"))</f>
      </c>
    </row>
    <row r="175" spans="1:7" x14ac:dyDescent="0.25">
      <c r="A175" s="22"/>
      <c r="B175" s="5"/>
      <c r="C175" s="5"/>
      <c r="D175" s="23"/>
      <c r="E175" s="5"/>
      <c r="F175" s="5"/>
      <c r="G175" s="31">
        <f>IF($B175="","",IFERROR(INDEX(Settings!$B$41:$B$55,MATCH($B175,Settings!$A$41:$A$55,0)),"Check category"))</f>
      </c>
    </row>
    <row r="176" spans="1:7" x14ac:dyDescent="0.25">
      <c r="A176" s="22"/>
      <c r="B176" s="5"/>
      <c r="C176" s="5"/>
      <c r="D176" s="23"/>
      <c r="E176" s="5"/>
      <c r="F176" s="5"/>
      <c r="G176" s="31">
        <f>IF($B176="","",IFERROR(INDEX(Settings!$B$41:$B$55,MATCH($B176,Settings!$A$41:$A$55,0)),"Check category"))</f>
      </c>
    </row>
    <row r="177" spans="1:7" x14ac:dyDescent="0.25">
      <c r="A177" s="22"/>
      <c r="B177" s="5"/>
      <c r="C177" s="5"/>
      <c r="D177" s="23"/>
      <c r="E177" s="5"/>
      <c r="F177" s="5"/>
      <c r="G177" s="31">
        <f>IF($B177="","",IFERROR(INDEX(Settings!$B$41:$B$55,MATCH($B177,Settings!$A$41:$A$55,0)),"Check category"))</f>
      </c>
    </row>
    <row r="178" spans="1:7" x14ac:dyDescent="0.25">
      <c r="A178" s="22"/>
      <c r="B178" s="5"/>
      <c r="C178" s="5"/>
      <c r="D178" s="23"/>
      <c r="E178" s="5"/>
      <c r="F178" s="5"/>
      <c r="G178" s="31">
        <f>IF($B178="","",IFERROR(INDEX(Settings!$B$41:$B$55,MATCH($B178,Settings!$A$41:$A$55,0)),"Check category"))</f>
      </c>
    </row>
    <row r="179" spans="1:7" x14ac:dyDescent="0.25">
      <c r="A179" s="22"/>
      <c r="B179" s="5"/>
      <c r="C179" s="5"/>
      <c r="D179" s="23"/>
      <c r="E179" s="5"/>
      <c r="F179" s="5"/>
      <c r="G179" s="31">
        <f>IF($B179="","",IFERROR(INDEX(Settings!$B$41:$B$55,MATCH($B179,Settings!$A$41:$A$55,0)),"Check category"))</f>
      </c>
    </row>
    <row r="180" spans="1:7" x14ac:dyDescent="0.25">
      <c r="A180" s="22"/>
      <c r="B180" s="5"/>
      <c r="C180" s="5"/>
      <c r="D180" s="23"/>
      <c r="E180" s="5"/>
      <c r="F180" s="5"/>
      <c r="G180" s="31">
        <f>IF($B180="","",IFERROR(INDEX(Settings!$B$41:$B$55,MATCH($B180,Settings!$A$41:$A$55,0)),"Check category"))</f>
      </c>
    </row>
    <row r="181" spans="1:7" x14ac:dyDescent="0.25">
      <c r="A181" s="22"/>
      <c r="B181" s="5"/>
      <c r="C181" s="5"/>
      <c r="D181" s="23"/>
      <c r="E181" s="5"/>
      <c r="F181" s="5"/>
      <c r="G181" s="31">
        <f>IF($B181="","",IFERROR(INDEX(Settings!$B$41:$B$55,MATCH($B181,Settings!$A$41:$A$55,0)),"Check category"))</f>
      </c>
    </row>
    <row r="182" spans="1:7" x14ac:dyDescent="0.25">
      <c r="A182" s="22"/>
      <c r="B182" s="5"/>
      <c r="C182" s="5"/>
      <c r="D182" s="23"/>
      <c r="E182" s="5"/>
      <c r="F182" s="5"/>
      <c r="G182" s="31">
        <f>IF($B182="","",IFERROR(INDEX(Settings!$B$41:$B$55,MATCH($B182,Settings!$A$41:$A$55,0)),"Check category"))</f>
      </c>
    </row>
    <row r="183" spans="1:7" x14ac:dyDescent="0.25">
      <c r="A183" s="22"/>
      <c r="B183" s="5"/>
      <c r="C183" s="5"/>
      <c r="D183" s="23"/>
      <c r="E183" s="5"/>
      <c r="F183" s="5"/>
      <c r="G183" s="31">
        <f>IF($B183="","",IFERROR(INDEX(Settings!$B$41:$B$55,MATCH($B183,Settings!$A$41:$A$55,0)),"Check category"))</f>
      </c>
    </row>
    <row r="184" spans="1:7" x14ac:dyDescent="0.25">
      <c r="A184" s="22"/>
      <c r="B184" s="5"/>
      <c r="C184" s="5"/>
      <c r="D184" s="23"/>
      <c r="E184" s="5"/>
      <c r="F184" s="5"/>
      <c r="G184" s="31">
        <f>IF($B184="","",IFERROR(INDEX(Settings!$B$41:$B$55,MATCH($B184,Settings!$A$41:$A$55,0)),"Check category"))</f>
      </c>
    </row>
    <row r="185" spans="1:7" x14ac:dyDescent="0.25">
      <c r="A185" s="22"/>
      <c r="B185" s="5"/>
      <c r="C185" s="5"/>
      <c r="D185" s="23"/>
      <c r="E185" s="5"/>
      <c r="F185" s="5"/>
      <c r="G185" s="31">
        <f>IF($B185="","",IFERROR(INDEX(Settings!$B$41:$B$55,MATCH($B185,Settings!$A$41:$A$55,0)),"Check category"))</f>
      </c>
    </row>
    <row r="186" spans="1:7" x14ac:dyDescent="0.25">
      <c r="A186" s="22"/>
      <c r="B186" s="5"/>
      <c r="C186" s="5"/>
      <c r="D186" s="23"/>
      <c r="E186" s="5"/>
      <c r="F186" s="5"/>
      <c r="G186" s="31">
        <f>IF($B186="","",IFERROR(INDEX(Settings!$B$41:$B$55,MATCH($B186,Settings!$A$41:$A$55,0)),"Check category"))</f>
      </c>
    </row>
    <row r="187" spans="1:7" x14ac:dyDescent="0.25">
      <c r="A187" s="22"/>
      <c r="B187" s="5"/>
      <c r="C187" s="5"/>
      <c r="D187" s="23"/>
      <c r="E187" s="5"/>
      <c r="F187" s="5"/>
      <c r="G187" s="31">
        <f>IF($B187="","",IFERROR(INDEX(Settings!$B$41:$B$55,MATCH($B187,Settings!$A$41:$A$55,0)),"Check category"))</f>
      </c>
    </row>
    <row r="188" spans="1:7" x14ac:dyDescent="0.25">
      <c r="A188" s="22"/>
      <c r="B188" s="5"/>
      <c r="C188" s="5"/>
      <c r="D188" s="23"/>
      <c r="E188" s="5"/>
      <c r="F188" s="5"/>
      <c r="G188" s="31">
        <f>IF($B188="","",IFERROR(INDEX(Settings!$B$41:$B$55,MATCH($B188,Settings!$A$41:$A$55,0)),"Check category"))</f>
      </c>
    </row>
    <row r="189" spans="1:7" x14ac:dyDescent="0.25">
      <c r="A189" s="22"/>
      <c r="B189" s="5"/>
      <c r="C189" s="5"/>
      <c r="D189" s="23"/>
      <c r="E189" s="5"/>
      <c r="F189" s="5"/>
      <c r="G189" s="31">
        <f>IF($B189="","",IFERROR(INDEX(Settings!$B$41:$B$55,MATCH($B189,Settings!$A$41:$A$55,0)),"Check category"))</f>
      </c>
    </row>
    <row r="190" spans="1:7" x14ac:dyDescent="0.25">
      <c r="A190" s="22"/>
      <c r="B190" s="5"/>
      <c r="C190" s="5"/>
      <c r="D190" s="23"/>
      <c r="E190" s="5"/>
      <c r="F190" s="5"/>
      <c r="G190" s="31">
        <f>IF($B190="","",IFERROR(INDEX(Settings!$B$41:$B$55,MATCH($B190,Settings!$A$41:$A$55,0)),"Check category"))</f>
      </c>
    </row>
    <row r="191" spans="1:7" x14ac:dyDescent="0.25">
      <c r="A191" s="22"/>
      <c r="B191" s="5"/>
      <c r="C191" s="5"/>
      <c r="D191" s="23"/>
      <c r="E191" s="5"/>
      <c r="F191" s="5"/>
      <c r="G191" s="31">
        <f>IF($B191="","",IFERROR(INDEX(Settings!$B$41:$B$55,MATCH($B191,Settings!$A$41:$A$55,0)),"Check category"))</f>
      </c>
    </row>
    <row r="192" spans="1:7" x14ac:dyDescent="0.25">
      <c r="A192" s="22"/>
      <c r="B192" s="5"/>
      <c r="C192" s="5"/>
      <c r="D192" s="23"/>
      <c r="E192" s="5"/>
      <c r="F192" s="5"/>
      <c r="G192" s="31">
        <f>IF($B192="","",IFERROR(INDEX(Settings!$B$41:$B$55,MATCH($B192,Settings!$A$41:$A$55,0)),"Check category"))</f>
      </c>
    </row>
    <row r="193" spans="1:7" x14ac:dyDescent="0.25">
      <c r="A193" s="22"/>
      <c r="B193" s="5"/>
      <c r="C193" s="5"/>
      <c r="D193" s="23"/>
      <c r="E193" s="5"/>
      <c r="F193" s="5"/>
      <c r="G193" s="31">
        <f>IF($B193="","",IFERROR(INDEX(Settings!$B$41:$B$55,MATCH($B193,Settings!$A$41:$A$55,0)),"Check category"))</f>
      </c>
    </row>
    <row r="194" spans="1:7" x14ac:dyDescent="0.25">
      <c r="A194" s="22"/>
      <c r="B194" s="5"/>
      <c r="C194" s="5"/>
      <c r="D194" s="23"/>
      <c r="E194" s="5"/>
      <c r="F194" s="5"/>
      <c r="G194" s="31">
        <f>IF($B194="","",IFERROR(INDEX(Settings!$B$41:$B$55,MATCH($B194,Settings!$A$41:$A$55,0)),"Check category"))</f>
      </c>
    </row>
    <row r="195" spans="1:7" x14ac:dyDescent="0.25">
      <c r="A195" s="22"/>
      <c r="B195" s="5"/>
      <c r="C195" s="5"/>
      <c r="D195" s="23"/>
      <c r="E195" s="5"/>
      <c r="F195" s="5"/>
      <c r="G195" s="31">
        <f>IF($B195="","",IFERROR(INDEX(Settings!$B$41:$B$55,MATCH($B195,Settings!$A$41:$A$55,0)),"Check category"))</f>
      </c>
    </row>
    <row r="196" spans="1:7" x14ac:dyDescent="0.25">
      <c r="A196" s="22"/>
      <c r="B196" s="5"/>
      <c r="C196" s="5"/>
      <c r="D196" s="23"/>
      <c r="E196" s="5"/>
      <c r="F196" s="5"/>
      <c r="G196" s="31">
        <f>IF($B196="","",IFERROR(INDEX(Settings!$B$41:$B$55,MATCH($B196,Settings!$A$41:$A$55,0)),"Check category"))</f>
      </c>
    </row>
    <row r="197" spans="1:7" x14ac:dyDescent="0.25">
      <c r="A197" s="22"/>
      <c r="B197" s="5"/>
      <c r="C197" s="5"/>
      <c r="D197" s="23"/>
      <c r="E197" s="5"/>
      <c r="F197" s="5"/>
      <c r="G197" s="31">
        <f>IF($B197="","",IFERROR(INDEX(Settings!$B$41:$B$55,MATCH($B197,Settings!$A$41:$A$55,0)),"Check category"))</f>
      </c>
    </row>
    <row r="198" spans="1:7" x14ac:dyDescent="0.25">
      <c r="A198" s="22"/>
      <c r="B198" s="5"/>
      <c r="C198" s="5"/>
      <c r="D198" s="23"/>
      <c r="E198" s="5"/>
      <c r="F198" s="5"/>
      <c r="G198" s="31">
        <f>IF($B198="","",IFERROR(INDEX(Settings!$B$41:$B$55,MATCH($B198,Settings!$A$41:$A$55,0)),"Check category"))</f>
      </c>
    </row>
    <row r="199" spans="1:7" x14ac:dyDescent="0.25">
      <c r="A199" s="22"/>
      <c r="B199" s="5"/>
      <c r="C199" s="5"/>
      <c r="D199" s="23"/>
      <c r="E199" s="5"/>
      <c r="F199" s="5"/>
      <c r="G199" s="31">
        <f>IF($B199="","",IFERROR(INDEX(Settings!$B$41:$B$55,MATCH($B199,Settings!$A$41:$A$55,0)),"Check category"))</f>
      </c>
    </row>
    <row r="200" spans="1:7" x14ac:dyDescent="0.25">
      <c r="A200" s="22"/>
      <c r="B200" s="5"/>
      <c r="C200" s="5"/>
      <c r="D200" s="23"/>
      <c r="E200" s="5"/>
      <c r="F200" s="5"/>
      <c r="G200" s="31">
        <f>IF($B200="","",IFERROR(INDEX(Settings!$B$41:$B$55,MATCH($B200,Settings!$A$41:$A$55,0)),"Check category"))</f>
      </c>
    </row>
    <row r="201" spans="1:7" x14ac:dyDescent="0.25">
      <c r="A201" s="22"/>
      <c r="B201" s="5"/>
      <c r="C201" s="5"/>
      <c r="D201" s="23"/>
      <c r="E201" s="5"/>
      <c r="F201" s="5"/>
      <c r="G201" s="31">
        <f>IF($B201="","",IFERROR(INDEX(Settings!$B$41:$B$55,MATCH($B201,Settings!$A$41:$A$55,0)),"Check category"))</f>
      </c>
    </row>
    <row r="202" spans="1:7" x14ac:dyDescent="0.25">
      <c r="A202" s="22"/>
      <c r="B202" s="5"/>
      <c r="C202" s="5"/>
      <c r="D202" s="23"/>
      <c r="E202" s="5"/>
      <c r="F202" s="5"/>
      <c r="G202" s="31">
        <f>IF($B202="","",IFERROR(INDEX(Settings!$B$41:$B$55,MATCH($B202,Settings!$A$41:$A$55,0)),"Check category"))</f>
      </c>
    </row>
    <row r="203" spans="1:7" x14ac:dyDescent="0.25">
      <c r="A203" s="22"/>
      <c r="B203" s="5"/>
      <c r="C203" s="5"/>
      <c r="D203" s="23"/>
      <c r="E203" s="5"/>
      <c r="F203" s="5"/>
      <c r="G203" s="31">
        <f>IF($B203="","",IFERROR(INDEX(Settings!$B$41:$B$55,MATCH($B203,Settings!$A$41:$A$55,0)),"Check category"))</f>
      </c>
    </row>
    <row r="204" spans="1:7" x14ac:dyDescent="0.25">
      <c r="A204" s="22"/>
      <c r="B204" s="5"/>
      <c r="C204" s="5"/>
      <c r="D204" s="23"/>
      <c r="E204" s="5"/>
      <c r="F204" s="5"/>
      <c r="G204" s="31">
        <f>IF($B204="","",IFERROR(INDEX(Settings!$B$41:$B$55,MATCH($B204,Settings!$A$41:$A$55,0)),"Check category"))</f>
      </c>
    </row>
    <row r="205" spans="1:7" x14ac:dyDescent="0.25">
      <c r="A205" s="22"/>
      <c r="B205" s="5"/>
      <c r="C205" s="5"/>
      <c r="D205" s="23"/>
      <c r="E205" s="5"/>
      <c r="F205" s="5"/>
      <c r="G205" s="31">
        <f>IF($B205="","",IFERROR(INDEX(Settings!$B$41:$B$55,MATCH($B205,Settings!$A$41:$A$55,0)),"Check category"))</f>
      </c>
    </row>
    <row r="206" spans="1:7" x14ac:dyDescent="0.25">
      <c r="A206" s="22"/>
      <c r="B206" s="5"/>
      <c r="C206" s="5"/>
      <c r="D206" s="23"/>
      <c r="E206" s="5"/>
      <c r="F206" s="5"/>
      <c r="G206" s="31">
        <f>IF($B206="","",IFERROR(INDEX(Settings!$B$41:$B$55,MATCH($B206,Settings!$A$41:$A$55,0)),"Check category"))</f>
      </c>
    </row>
    <row r="207" spans="1:7" x14ac:dyDescent="0.25">
      <c r="A207" s="22"/>
      <c r="B207" s="5"/>
      <c r="C207" s="5"/>
      <c r="D207" s="23"/>
      <c r="E207" s="5"/>
      <c r="F207" s="5"/>
      <c r="G207" s="31">
        <f>IF($B207="","",IFERROR(INDEX(Settings!$B$41:$B$55,MATCH($B207,Settings!$A$41:$A$55,0)),"Check category"))</f>
      </c>
    </row>
    <row r="208" spans="1:7" x14ac:dyDescent="0.25">
      <c r="A208" s="22"/>
      <c r="B208" s="5"/>
      <c r="C208" s="5"/>
      <c r="D208" s="23"/>
      <c r="E208" s="5"/>
      <c r="F208" s="5"/>
      <c r="G208" s="31">
        <f>IF($B208="","",IFERROR(INDEX(Settings!$B$41:$B$55,MATCH($B208,Settings!$A$41:$A$55,0)),"Check category"))</f>
      </c>
    </row>
    <row r="209" spans="1:7" x14ac:dyDescent="0.25">
      <c r="A209" s="22"/>
      <c r="B209" s="5"/>
      <c r="C209" s="5"/>
      <c r="D209" s="23"/>
      <c r="E209" s="5"/>
      <c r="F209" s="5"/>
      <c r="G209" s="31">
        <f>IF($B209="","",IFERROR(INDEX(Settings!$B$41:$B$55,MATCH($B209,Settings!$A$41:$A$55,0)),"Check category"))</f>
      </c>
    </row>
    <row r="210" spans="1:7" x14ac:dyDescent="0.25">
      <c r="A210" s="22"/>
      <c r="B210" s="5"/>
      <c r="C210" s="5"/>
      <c r="D210" s="23"/>
      <c r="E210" s="5"/>
      <c r="F210" s="5"/>
      <c r="G210" s="31">
        <f>IF($B210="","",IFERROR(INDEX(Settings!$B$41:$B$55,MATCH($B210,Settings!$A$41:$A$55,0)),"Check category"))</f>
      </c>
    </row>
    <row r="211" spans="1:7" x14ac:dyDescent="0.25">
      <c r="A211" s="22"/>
      <c r="B211" s="5"/>
      <c r="C211" s="5"/>
      <c r="D211" s="23"/>
      <c r="E211" s="5"/>
      <c r="F211" s="5"/>
      <c r="G211" s="31">
        <f>IF($B211="","",IFERROR(INDEX(Settings!$B$41:$B$55,MATCH($B211,Settings!$A$41:$A$55,0)),"Check category"))</f>
      </c>
    </row>
    <row r="212" spans="1:7" x14ac:dyDescent="0.25">
      <c r="A212" s="22"/>
      <c r="B212" s="5"/>
      <c r="C212" s="5"/>
      <c r="D212" s="23"/>
      <c r="E212" s="5"/>
      <c r="F212" s="5"/>
      <c r="G212" s="31">
        <f>IF($B212="","",IFERROR(INDEX(Settings!$B$41:$B$55,MATCH($B212,Settings!$A$41:$A$55,0)),"Check category"))</f>
      </c>
    </row>
    <row r="213" spans="1:7" x14ac:dyDescent="0.25">
      <c r="A213" s="22"/>
      <c r="B213" s="5"/>
      <c r="C213" s="5"/>
      <c r="D213" s="23"/>
      <c r="E213" s="5"/>
      <c r="F213" s="5"/>
      <c r="G213" s="31">
        <f>IF($B213="","",IFERROR(INDEX(Settings!$B$41:$B$55,MATCH($B213,Settings!$A$41:$A$55,0)),"Check category"))</f>
      </c>
    </row>
    <row r="214" spans="1:7" x14ac:dyDescent="0.25">
      <c r="A214" s="22"/>
      <c r="B214" s="5"/>
      <c r="C214" s="5"/>
      <c r="D214" s="23"/>
      <c r="E214" s="5"/>
      <c r="F214" s="5"/>
      <c r="G214" s="31">
        <f>IF($B214="","",IFERROR(INDEX(Settings!$B$41:$B$55,MATCH($B214,Settings!$A$41:$A$55,0)),"Check category"))</f>
      </c>
    </row>
    <row r="215" spans="1:7" x14ac:dyDescent="0.25">
      <c r="A215" s="22"/>
      <c r="B215" s="5"/>
      <c r="C215" s="5"/>
      <c r="D215" s="23"/>
      <c r="E215" s="5"/>
      <c r="F215" s="5"/>
      <c r="G215" s="31">
        <f>IF($B215="","",IFERROR(INDEX(Settings!$B$41:$B$55,MATCH($B215,Settings!$A$41:$A$55,0)),"Check category"))</f>
      </c>
    </row>
    <row r="216" spans="1:7" x14ac:dyDescent="0.25">
      <c r="A216" s="22"/>
      <c r="B216" s="5"/>
      <c r="C216" s="5"/>
      <c r="D216" s="23"/>
      <c r="E216" s="5"/>
      <c r="F216" s="5"/>
      <c r="G216" s="31">
        <f>IF($B216="","",IFERROR(INDEX(Settings!$B$41:$B$55,MATCH($B216,Settings!$A$41:$A$55,0)),"Check category"))</f>
      </c>
    </row>
    <row r="217" spans="1:7" x14ac:dyDescent="0.25">
      <c r="A217" s="22"/>
      <c r="B217" s="5"/>
      <c r="C217" s="5"/>
      <c r="D217" s="23"/>
      <c r="E217" s="5"/>
      <c r="F217" s="5"/>
      <c r="G217" s="31">
        <f>IF($B217="","",IFERROR(INDEX(Settings!$B$41:$B$55,MATCH($B217,Settings!$A$41:$A$55,0)),"Check category"))</f>
      </c>
    </row>
    <row r="218" spans="1:7" x14ac:dyDescent="0.25">
      <c r="A218" s="22"/>
      <c r="B218" s="5"/>
      <c r="C218" s="5"/>
      <c r="D218" s="23"/>
      <c r="E218" s="5"/>
      <c r="F218" s="5"/>
      <c r="G218" s="31">
        <f>IF($B218="","",IFERROR(INDEX(Settings!$B$41:$B$55,MATCH($B218,Settings!$A$41:$A$55,0)),"Check category"))</f>
      </c>
    </row>
    <row r="219" spans="1:7" x14ac:dyDescent="0.25">
      <c r="A219" s="22"/>
      <c r="B219" s="5"/>
      <c r="C219" s="5"/>
      <c r="D219" s="23"/>
      <c r="E219" s="5"/>
      <c r="F219" s="5"/>
      <c r="G219" s="31">
        <f>IF($B219="","",IFERROR(INDEX(Settings!$B$41:$B$55,MATCH($B219,Settings!$A$41:$A$55,0)),"Check category"))</f>
      </c>
    </row>
    <row r="220" spans="1:7" x14ac:dyDescent="0.25">
      <c r="A220" s="22"/>
      <c r="B220" s="5"/>
      <c r="C220" s="5"/>
      <c r="D220" s="23"/>
      <c r="E220" s="5"/>
      <c r="F220" s="5"/>
      <c r="G220" s="31">
        <f>IF($B220="","",IFERROR(INDEX(Settings!$B$41:$B$55,MATCH($B220,Settings!$A$41:$A$55,0)),"Check category"))</f>
      </c>
    </row>
    <row r="221" spans="1:7" x14ac:dyDescent="0.25">
      <c r="A221" s="22"/>
      <c r="B221" s="5"/>
      <c r="C221" s="5"/>
      <c r="D221" s="23"/>
      <c r="E221" s="5"/>
      <c r="F221" s="5"/>
      <c r="G221" s="31">
        <f>IF($B221="","",IFERROR(INDEX(Settings!$B$41:$B$55,MATCH($B221,Settings!$A$41:$A$55,0)),"Check category"))</f>
      </c>
    </row>
    <row r="222" spans="1:7" x14ac:dyDescent="0.25">
      <c r="A222" s="22"/>
      <c r="B222" s="5"/>
      <c r="C222" s="5"/>
      <c r="D222" s="23"/>
      <c r="E222" s="5"/>
      <c r="F222" s="5"/>
      <c r="G222" s="31">
        <f>IF($B222="","",IFERROR(INDEX(Settings!$B$41:$B$55,MATCH($B222,Settings!$A$41:$A$55,0)),"Check category"))</f>
      </c>
    </row>
    <row r="223" spans="1:7" x14ac:dyDescent="0.25">
      <c r="A223" s="22"/>
      <c r="B223" s="5"/>
      <c r="C223" s="5"/>
      <c r="D223" s="23"/>
      <c r="E223" s="5"/>
      <c r="F223" s="5"/>
      <c r="G223" s="31">
        <f>IF($B223="","",IFERROR(INDEX(Settings!$B$41:$B$55,MATCH($B223,Settings!$A$41:$A$55,0)),"Check category"))</f>
      </c>
    </row>
    <row r="224" spans="1:7" x14ac:dyDescent="0.25">
      <c r="A224" s="22"/>
      <c r="B224" s="5"/>
      <c r="C224" s="5"/>
      <c r="D224" s="23"/>
      <c r="E224" s="5"/>
      <c r="F224" s="5"/>
      <c r="G224" s="31">
        <f>IF($B224="","",IFERROR(INDEX(Settings!$B$41:$B$55,MATCH($B224,Settings!$A$41:$A$55,0)),"Check category"))</f>
      </c>
    </row>
    <row r="225" spans="1:7" x14ac:dyDescent="0.25">
      <c r="A225" s="22"/>
      <c r="B225" s="5"/>
      <c r="C225" s="5"/>
      <c r="D225" s="23"/>
      <c r="E225" s="5"/>
      <c r="F225" s="5"/>
      <c r="G225" s="31">
        <f>IF($B225="","",IFERROR(INDEX(Settings!$B$41:$B$55,MATCH($B225,Settings!$A$41:$A$55,0)),"Check category"))</f>
      </c>
    </row>
    <row r="226" spans="1:7" x14ac:dyDescent="0.25">
      <c r="A226" s="22"/>
      <c r="B226" s="5"/>
      <c r="C226" s="5"/>
      <c r="D226" s="23"/>
      <c r="E226" s="5"/>
      <c r="F226" s="5"/>
      <c r="G226" s="31">
        <f>IF($B226="","",IFERROR(INDEX(Settings!$B$41:$B$55,MATCH($B226,Settings!$A$41:$A$55,0)),"Check category"))</f>
      </c>
    </row>
    <row r="227" spans="1:7" x14ac:dyDescent="0.25">
      <c r="A227" s="22"/>
      <c r="B227" s="5"/>
      <c r="C227" s="5"/>
      <c r="D227" s="23"/>
      <c r="E227" s="5"/>
      <c r="F227" s="5"/>
      <c r="G227" s="31">
        <f>IF($B227="","",IFERROR(INDEX(Settings!$B$41:$B$55,MATCH($B227,Settings!$A$41:$A$55,0)),"Check category"))</f>
      </c>
    </row>
    <row r="228" spans="1:7" x14ac:dyDescent="0.25">
      <c r="A228" s="22"/>
      <c r="B228" s="5"/>
      <c r="C228" s="5"/>
      <c r="D228" s="23"/>
      <c r="E228" s="5"/>
      <c r="F228" s="5"/>
      <c r="G228" s="31">
        <f>IF($B228="","",IFERROR(INDEX(Settings!$B$41:$B$55,MATCH($B228,Settings!$A$41:$A$55,0)),"Check category"))</f>
      </c>
    </row>
    <row r="229" spans="1:7" x14ac:dyDescent="0.25">
      <c r="A229" s="22"/>
      <c r="B229" s="5"/>
      <c r="C229" s="5"/>
      <c r="D229" s="23"/>
      <c r="E229" s="5"/>
      <c r="F229" s="5"/>
      <c r="G229" s="31">
        <f>IF($B229="","",IFERROR(INDEX(Settings!$B$41:$B$55,MATCH($B229,Settings!$A$41:$A$55,0)),"Check category"))</f>
      </c>
    </row>
    <row r="230" spans="1:7" x14ac:dyDescent="0.25">
      <c r="A230" s="22"/>
      <c r="B230" s="5"/>
      <c r="C230" s="5"/>
      <c r="D230" s="23"/>
      <c r="E230" s="5"/>
      <c r="F230" s="5"/>
      <c r="G230" s="31">
        <f>IF($B230="","",IFERROR(INDEX(Settings!$B$41:$B$55,MATCH($B230,Settings!$A$41:$A$55,0)),"Check category"))</f>
      </c>
    </row>
    <row r="231" spans="1:7" x14ac:dyDescent="0.25">
      <c r="A231" s="22"/>
      <c r="B231" s="5"/>
      <c r="C231" s="5"/>
      <c r="D231" s="23"/>
      <c r="E231" s="5"/>
      <c r="F231" s="5"/>
      <c r="G231" s="31">
        <f>IF($B231="","",IFERROR(INDEX(Settings!$B$41:$B$55,MATCH($B231,Settings!$A$41:$A$55,0)),"Check category"))</f>
      </c>
    </row>
    <row r="232" spans="1:7" x14ac:dyDescent="0.25">
      <c r="A232" s="22"/>
      <c r="B232" s="5"/>
      <c r="C232" s="5"/>
      <c r="D232" s="23"/>
      <c r="E232" s="5"/>
      <c r="F232" s="5"/>
      <c r="G232" s="31">
        <f>IF($B232="","",IFERROR(INDEX(Settings!$B$41:$B$55,MATCH($B232,Settings!$A$41:$A$55,0)),"Check category"))</f>
      </c>
    </row>
    <row r="233" spans="1:7" x14ac:dyDescent="0.25">
      <c r="A233" s="22"/>
      <c r="B233" s="5"/>
      <c r="C233" s="5"/>
      <c r="D233" s="23"/>
      <c r="E233" s="5"/>
      <c r="F233" s="5"/>
      <c r="G233" s="31">
        <f>IF($B233="","",IFERROR(INDEX(Settings!$B$41:$B$55,MATCH($B233,Settings!$A$41:$A$55,0)),"Check category"))</f>
      </c>
    </row>
    <row r="234" spans="1:7" x14ac:dyDescent="0.25">
      <c r="A234" s="22"/>
      <c r="B234" s="5"/>
      <c r="C234" s="5"/>
      <c r="D234" s="23"/>
      <c r="E234" s="5"/>
      <c r="F234" s="5"/>
      <c r="G234" s="31">
        <f>IF($B234="","",IFERROR(INDEX(Settings!$B$41:$B$55,MATCH($B234,Settings!$A$41:$A$55,0)),"Check category"))</f>
      </c>
    </row>
    <row r="235" spans="1:7" x14ac:dyDescent="0.25">
      <c r="A235" s="22"/>
      <c r="B235" s="5"/>
      <c r="C235" s="5"/>
      <c r="D235" s="23"/>
      <c r="E235" s="5"/>
      <c r="F235" s="5"/>
      <c r="G235" s="31">
        <f>IF($B235="","",IFERROR(INDEX(Settings!$B$41:$B$55,MATCH($B235,Settings!$A$41:$A$55,0)),"Check category"))</f>
      </c>
    </row>
    <row r="236" spans="1:7" x14ac:dyDescent="0.25">
      <c r="A236" s="22"/>
      <c r="B236" s="5"/>
      <c r="C236" s="5"/>
      <c r="D236" s="23"/>
      <c r="E236" s="5"/>
      <c r="F236" s="5"/>
      <c r="G236" s="31">
        <f>IF($B236="","",IFERROR(INDEX(Settings!$B$41:$B$55,MATCH($B236,Settings!$A$41:$A$55,0)),"Check category"))</f>
      </c>
    </row>
    <row r="237" spans="1:7" x14ac:dyDescent="0.25">
      <c r="A237" s="22"/>
      <c r="B237" s="5"/>
      <c r="C237" s="5"/>
      <c r="D237" s="23"/>
      <c r="E237" s="5"/>
      <c r="F237" s="5"/>
      <c r="G237" s="31">
        <f>IF($B237="","",IFERROR(INDEX(Settings!$B$41:$B$55,MATCH($B237,Settings!$A$41:$A$55,0)),"Check category"))</f>
      </c>
    </row>
    <row r="238" spans="1:7" x14ac:dyDescent="0.25">
      <c r="A238" s="22"/>
      <c r="B238" s="5"/>
      <c r="C238" s="5"/>
      <c r="D238" s="23"/>
      <c r="E238" s="5"/>
      <c r="F238" s="5"/>
      <c r="G238" s="31">
        <f>IF($B238="","",IFERROR(INDEX(Settings!$B$41:$B$55,MATCH($B238,Settings!$A$41:$A$55,0)),"Check category"))</f>
      </c>
    </row>
    <row r="239" spans="1:7" x14ac:dyDescent="0.25">
      <c r="A239" s="22"/>
      <c r="B239" s="5"/>
      <c r="C239" s="5"/>
      <c r="D239" s="23"/>
      <c r="E239" s="5"/>
      <c r="F239" s="5"/>
      <c r="G239" s="31">
        <f>IF($B239="","",IFERROR(INDEX(Settings!$B$41:$B$55,MATCH($B239,Settings!$A$41:$A$55,0)),"Check category"))</f>
      </c>
    </row>
    <row r="240" spans="1:7" x14ac:dyDescent="0.25">
      <c r="A240" s="22"/>
      <c r="B240" s="5"/>
      <c r="C240" s="5"/>
      <c r="D240" s="23"/>
      <c r="E240" s="5"/>
      <c r="F240" s="5"/>
      <c r="G240" s="31">
        <f>IF($B240="","",IFERROR(INDEX(Settings!$B$41:$B$55,MATCH($B240,Settings!$A$41:$A$55,0)),"Check category"))</f>
      </c>
    </row>
    <row r="241" spans="1:7" x14ac:dyDescent="0.25">
      <c r="A241" s="22"/>
      <c r="B241" s="5"/>
      <c r="C241" s="5"/>
      <c r="D241" s="23"/>
      <c r="E241" s="5"/>
      <c r="F241" s="5"/>
      <c r="G241" s="31">
        <f>IF($B241="","",IFERROR(INDEX(Settings!$B$41:$B$55,MATCH($B241,Settings!$A$41:$A$55,0)),"Check category"))</f>
      </c>
    </row>
    <row r="242" spans="1:7" x14ac:dyDescent="0.25">
      <c r="A242" s="22"/>
      <c r="B242" s="5"/>
      <c r="C242" s="5"/>
      <c r="D242" s="23"/>
      <c r="E242" s="5"/>
      <c r="F242" s="5"/>
      <c r="G242" s="31">
        <f>IF($B242="","",IFERROR(INDEX(Settings!$B$41:$B$55,MATCH($B242,Settings!$A$41:$A$55,0)),"Check category"))</f>
      </c>
    </row>
    <row r="243" spans="1:7" x14ac:dyDescent="0.25">
      <c r="A243" s="22"/>
      <c r="B243" s="5"/>
      <c r="C243" s="5"/>
      <c r="D243" s="23"/>
      <c r="E243" s="5"/>
      <c r="F243" s="5"/>
      <c r="G243" s="31">
        <f>IF($B243="","",IFERROR(INDEX(Settings!$B$41:$B$55,MATCH($B243,Settings!$A$41:$A$55,0)),"Check category"))</f>
      </c>
    </row>
    <row r="244" spans="1:7" x14ac:dyDescent="0.25">
      <c r="A244" s="22"/>
      <c r="B244" s="5"/>
      <c r="C244" s="5"/>
      <c r="D244" s="23"/>
      <c r="E244" s="5"/>
      <c r="F244" s="5"/>
      <c r="G244" s="31">
        <f>IF($B244="","",IFERROR(INDEX(Settings!$B$41:$B$55,MATCH($B244,Settings!$A$41:$A$55,0)),"Check category"))</f>
      </c>
    </row>
    <row r="245" spans="1:7" x14ac:dyDescent="0.25">
      <c r="A245" s="22"/>
      <c r="B245" s="5"/>
      <c r="C245" s="5"/>
      <c r="D245" s="23"/>
      <c r="E245" s="5"/>
      <c r="F245" s="5"/>
      <c r="G245" s="31">
        <f>IF($B245="","",IFERROR(INDEX(Settings!$B$41:$B$55,MATCH($B245,Settings!$A$41:$A$55,0)),"Check category"))</f>
      </c>
    </row>
    <row r="246" spans="1:7" x14ac:dyDescent="0.25">
      <c r="A246" s="22"/>
      <c r="B246" s="5"/>
      <c r="C246" s="5"/>
      <c r="D246" s="23"/>
      <c r="E246" s="5"/>
      <c r="F246" s="5"/>
      <c r="G246" s="31">
        <f>IF($B246="","",IFERROR(INDEX(Settings!$B$41:$B$55,MATCH($B246,Settings!$A$41:$A$55,0)),"Check category"))</f>
      </c>
    </row>
    <row r="247" spans="1:7" x14ac:dyDescent="0.25">
      <c r="A247" s="22"/>
      <c r="B247" s="5"/>
      <c r="C247" s="5"/>
      <c r="D247" s="23"/>
      <c r="E247" s="5"/>
      <c r="F247" s="5"/>
      <c r="G247" s="31">
        <f>IF($B247="","",IFERROR(INDEX(Settings!$B$41:$B$55,MATCH($B247,Settings!$A$41:$A$55,0)),"Check category"))</f>
      </c>
    </row>
    <row r="248" spans="1:7" x14ac:dyDescent="0.25">
      <c r="A248" s="22"/>
      <c r="B248" s="5"/>
      <c r="C248" s="5"/>
      <c r="D248" s="23"/>
      <c r="E248" s="5"/>
      <c r="F248" s="5"/>
      <c r="G248" s="31">
        <f>IF($B248="","",IFERROR(INDEX(Settings!$B$41:$B$55,MATCH($B248,Settings!$A$41:$A$55,0)),"Check category"))</f>
      </c>
    </row>
    <row r="249" spans="1:7" x14ac:dyDescent="0.25">
      <c r="A249" s="22"/>
      <c r="B249" s="5"/>
      <c r="C249" s="5"/>
      <c r="D249" s="23"/>
      <c r="E249" s="5"/>
      <c r="F249" s="5"/>
      <c r="G249" s="31">
        <f>IF($B249="","",IFERROR(INDEX(Settings!$B$41:$B$55,MATCH($B249,Settings!$A$41:$A$55,0)),"Check category"))</f>
      </c>
    </row>
    <row r="250" spans="1:7" x14ac:dyDescent="0.25">
      <c r="A250" s="22"/>
      <c r="B250" s="5"/>
      <c r="C250" s="5"/>
      <c r="D250" s="23"/>
      <c r="E250" s="5"/>
      <c r="F250" s="5"/>
      <c r="G250" s="31">
        <f>IF($B250="","",IFERROR(INDEX(Settings!$B$41:$B$55,MATCH($B250,Settings!$A$41:$A$55,0)),"Check category"))</f>
      </c>
    </row>
    <row r="251" spans="1:7" x14ac:dyDescent="0.25">
      <c r="A251" s="22"/>
      <c r="B251" s="5"/>
      <c r="C251" s="5"/>
      <c r="D251" s="23"/>
      <c r="E251" s="5"/>
      <c r="F251" s="5"/>
      <c r="G251" s="31">
        <f>IF($B251="","",IFERROR(INDEX(Settings!$B$41:$B$55,MATCH($B251,Settings!$A$41:$A$55,0)),"Check category"))</f>
      </c>
    </row>
    <row r="252" spans="1:7" x14ac:dyDescent="0.25">
      <c r="A252" s="22"/>
      <c r="B252" s="5"/>
      <c r="C252" s="5"/>
      <c r="D252" s="23"/>
      <c r="E252" s="5"/>
      <c r="F252" s="5"/>
      <c r="G252" s="31">
        <f>IF($B252="","",IFERROR(INDEX(Settings!$B$41:$B$55,MATCH($B252,Settings!$A$41:$A$55,0)),"Check category"))</f>
      </c>
    </row>
    <row r="253" spans="1:7" x14ac:dyDescent="0.25">
      <c r="A253" s="22"/>
      <c r="B253" s="5"/>
      <c r="C253" s="5"/>
      <c r="D253" s="23"/>
      <c r="E253" s="5"/>
      <c r="F253" s="5"/>
      <c r="G253" s="31">
        <f>IF($B253="","",IFERROR(INDEX(Settings!$B$41:$B$55,MATCH($B253,Settings!$A$41:$A$55,0)),"Check category"))</f>
      </c>
    </row>
    <row r="254" spans="1:7" x14ac:dyDescent="0.25">
      <c r="A254" s="22"/>
      <c r="B254" s="5"/>
      <c r="C254" s="5"/>
      <c r="D254" s="23"/>
      <c r="E254" s="5"/>
      <c r="F254" s="5"/>
      <c r="G254" s="31">
        <f>IF($B254="","",IFERROR(INDEX(Settings!$B$41:$B$55,MATCH($B254,Settings!$A$41:$A$55,0)),"Check category"))</f>
      </c>
    </row>
    <row r="255" spans="1:7" x14ac:dyDescent="0.25">
      <c r="A255" s="22"/>
      <c r="B255" s="5"/>
      <c r="C255" s="5"/>
      <c r="D255" s="23"/>
      <c r="E255" s="5"/>
      <c r="F255" s="5"/>
      <c r="G255" s="31">
        <f>IF($B255="","",IFERROR(INDEX(Settings!$B$41:$B$55,MATCH($B255,Settings!$A$41:$A$55,0)),"Check category"))</f>
      </c>
    </row>
    <row r="256" spans="1:7" x14ac:dyDescent="0.25">
      <c r="A256" s="22"/>
      <c r="B256" s="5"/>
      <c r="C256" s="5"/>
      <c r="D256" s="23"/>
      <c r="E256" s="5"/>
      <c r="F256" s="5"/>
      <c r="G256" s="31">
        <f>IF($B256="","",IFERROR(INDEX(Settings!$B$41:$B$55,MATCH($B256,Settings!$A$41:$A$55,0)),"Check category"))</f>
      </c>
    </row>
    <row r="257" spans="1:7" x14ac:dyDescent="0.25">
      <c r="A257" s="22"/>
      <c r="B257" s="5"/>
      <c r="C257" s="5"/>
      <c r="D257" s="23"/>
      <c r="E257" s="5"/>
      <c r="F257" s="5"/>
      <c r="G257" s="31">
        <f>IF($B257="","",IFERROR(INDEX(Settings!$B$41:$B$55,MATCH($B257,Settings!$A$41:$A$55,0)),"Check category"))</f>
      </c>
    </row>
    <row r="258" spans="1:7" x14ac:dyDescent="0.25">
      <c r="A258" s="22"/>
      <c r="B258" s="5"/>
      <c r="C258" s="5"/>
      <c r="D258" s="23"/>
      <c r="E258" s="5"/>
      <c r="F258" s="5"/>
      <c r="G258" s="31">
        <f>IF($B258="","",IFERROR(INDEX(Settings!$B$41:$B$55,MATCH($B258,Settings!$A$41:$A$55,0)),"Check category"))</f>
      </c>
    </row>
    <row r="259" spans="1:7" x14ac:dyDescent="0.25">
      <c r="A259" s="22"/>
      <c r="B259" s="5"/>
      <c r="C259" s="5"/>
      <c r="D259" s="23"/>
      <c r="E259" s="5"/>
      <c r="F259" s="5"/>
      <c r="G259" s="31">
        <f>IF($B259="","",IFERROR(INDEX(Settings!$B$41:$B$55,MATCH($B259,Settings!$A$41:$A$55,0)),"Check category"))</f>
      </c>
    </row>
    <row r="260" spans="1:7" x14ac:dyDescent="0.25">
      <c r="A260" s="22"/>
      <c r="B260" s="5"/>
      <c r="C260" s="5"/>
      <c r="D260" s="23"/>
      <c r="E260" s="5"/>
      <c r="F260" s="5"/>
      <c r="G260" s="31">
        <f>IF($B260="","",IFERROR(INDEX(Settings!$B$41:$B$55,MATCH($B260,Settings!$A$41:$A$55,0)),"Check category"))</f>
      </c>
    </row>
    <row r="261" spans="1:7" x14ac:dyDescent="0.25">
      <c r="A261" s="22"/>
      <c r="B261" s="5"/>
      <c r="C261" s="5"/>
      <c r="D261" s="23"/>
      <c r="E261" s="5"/>
      <c r="F261" s="5"/>
      <c r="G261" s="31">
        <f>IF($B261="","",IFERROR(INDEX(Settings!$B$41:$B$55,MATCH($B261,Settings!$A$41:$A$55,0)),"Check category"))</f>
      </c>
    </row>
    <row r="262" spans="1:7" x14ac:dyDescent="0.25">
      <c r="A262" s="22"/>
      <c r="B262" s="5"/>
      <c r="C262" s="5"/>
      <c r="D262" s="23"/>
      <c r="E262" s="5"/>
      <c r="F262" s="5"/>
      <c r="G262" s="31">
        <f>IF($B262="","",IFERROR(INDEX(Settings!$B$41:$B$55,MATCH($B262,Settings!$A$41:$A$55,0)),"Check category"))</f>
      </c>
    </row>
    <row r="263" spans="1:7" x14ac:dyDescent="0.25">
      <c r="A263" s="22"/>
      <c r="B263" s="5"/>
      <c r="C263" s="5"/>
      <c r="D263" s="23"/>
      <c r="E263" s="5"/>
      <c r="F263" s="5"/>
      <c r="G263" s="31">
        <f>IF($B263="","",IFERROR(INDEX(Settings!$B$41:$B$55,MATCH($B263,Settings!$A$41:$A$55,0)),"Check category"))</f>
      </c>
    </row>
    <row r="264" spans="1:7" x14ac:dyDescent="0.25">
      <c r="A264" s="22"/>
      <c r="B264" s="5"/>
      <c r="C264" s="5"/>
      <c r="D264" s="23"/>
      <c r="E264" s="5"/>
      <c r="F264" s="5"/>
      <c r="G264" s="31">
        <f>IF($B264="","",IFERROR(INDEX(Settings!$B$41:$B$55,MATCH($B264,Settings!$A$41:$A$55,0)),"Check category"))</f>
      </c>
    </row>
    <row r="265" spans="1:7" x14ac:dyDescent="0.25">
      <c r="A265" s="22"/>
      <c r="B265" s="5"/>
      <c r="C265" s="5"/>
      <c r="D265" s="23"/>
      <c r="E265" s="5"/>
      <c r="F265" s="5"/>
      <c r="G265" s="31">
        <f>IF($B265="","",IFERROR(INDEX(Settings!$B$41:$B$55,MATCH($B265,Settings!$A$41:$A$55,0)),"Check category"))</f>
      </c>
    </row>
    <row r="266" spans="1:7" x14ac:dyDescent="0.25">
      <c r="A266" s="22"/>
      <c r="B266" s="5"/>
      <c r="C266" s="5"/>
      <c r="D266" s="23"/>
      <c r="E266" s="5"/>
      <c r="F266" s="5"/>
      <c r="G266" s="31">
        <f>IF($B266="","",IFERROR(INDEX(Settings!$B$41:$B$55,MATCH($B266,Settings!$A$41:$A$55,0)),"Check category"))</f>
      </c>
    </row>
    <row r="267" spans="1:7" x14ac:dyDescent="0.25">
      <c r="A267" s="22"/>
      <c r="B267" s="5"/>
      <c r="C267" s="5"/>
      <c r="D267" s="23"/>
      <c r="E267" s="5"/>
      <c r="F267" s="5"/>
      <c r="G267" s="31">
        <f>IF($B267="","",IFERROR(INDEX(Settings!$B$41:$B$55,MATCH($B267,Settings!$A$41:$A$55,0)),"Check category"))</f>
      </c>
    </row>
    <row r="268" spans="1:7" x14ac:dyDescent="0.25">
      <c r="A268" s="22"/>
      <c r="B268" s="5"/>
      <c r="C268" s="5"/>
      <c r="D268" s="23"/>
      <c r="E268" s="5"/>
      <c r="F268" s="5"/>
      <c r="G268" s="31">
        <f>IF($B268="","",IFERROR(INDEX(Settings!$B$41:$B$55,MATCH($B268,Settings!$A$41:$A$55,0)),"Check category"))</f>
      </c>
    </row>
    <row r="269" spans="1:7" x14ac:dyDescent="0.25">
      <c r="A269" s="22"/>
      <c r="B269" s="5"/>
      <c r="C269" s="5"/>
      <c r="D269" s="23"/>
      <c r="E269" s="5"/>
      <c r="F269" s="5"/>
      <c r="G269" s="31">
        <f>IF($B269="","",IFERROR(INDEX(Settings!$B$41:$B$55,MATCH($B269,Settings!$A$41:$A$55,0)),"Check category"))</f>
      </c>
    </row>
    <row r="270" spans="1:7" x14ac:dyDescent="0.25">
      <c r="A270" s="22"/>
      <c r="B270" s="5"/>
      <c r="C270" s="5"/>
      <c r="D270" s="23"/>
      <c r="E270" s="5"/>
      <c r="F270" s="5"/>
      <c r="G270" s="31">
        <f>IF($B270="","",IFERROR(INDEX(Settings!$B$41:$B$55,MATCH($B270,Settings!$A$41:$A$55,0)),"Check category"))</f>
      </c>
    </row>
    <row r="271" spans="1:7" x14ac:dyDescent="0.25">
      <c r="A271" s="22"/>
      <c r="B271" s="5"/>
      <c r="C271" s="5"/>
      <c r="D271" s="23"/>
      <c r="E271" s="5"/>
      <c r="F271" s="5"/>
      <c r="G271" s="31">
        <f>IF($B271="","",IFERROR(INDEX(Settings!$B$41:$B$55,MATCH($B271,Settings!$A$41:$A$55,0)),"Check category"))</f>
      </c>
    </row>
    <row r="272" spans="1:7" x14ac:dyDescent="0.25">
      <c r="A272" s="22"/>
      <c r="B272" s="5"/>
      <c r="C272" s="5"/>
      <c r="D272" s="23"/>
      <c r="E272" s="5"/>
      <c r="F272" s="5"/>
      <c r="G272" s="31">
        <f>IF($B272="","",IFERROR(INDEX(Settings!$B$41:$B$55,MATCH($B272,Settings!$A$41:$A$55,0)),"Check category"))</f>
      </c>
    </row>
    <row r="273" spans="1:7" x14ac:dyDescent="0.25">
      <c r="A273" s="22"/>
      <c r="B273" s="5"/>
      <c r="C273" s="5"/>
      <c r="D273" s="23"/>
      <c r="E273" s="5"/>
      <c r="F273" s="5"/>
      <c r="G273" s="31">
        <f>IF($B273="","",IFERROR(INDEX(Settings!$B$41:$B$55,MATCH($B273,Settings!$A$41:$A$55,0)),"Check category"))</f>
      </c>
    </row>
    <row r="274" spans="1:7" x14ac:dyDescent="0.25">
      <c r="A274" s="22"/>
      <c r="B274" s="5"/>
      <c r="C274" s="5"/>
      <c r="D274" s="23"/>
      <c r="E274" s="5"/>
      <c r="F274" s="5"/>
      <c r="G274" s="31">
        <f>IF($B274="","",IFERROR(INDEX(Settings!$B$41:$B$55,MATCH($B274,Settings!$A$41:$A$55,0)),"Check category"))</f>
      </c>
    </row>
    <row r="275" spans="1:7" x14ac:dyDescent="0.25">
      <c r="A275" s="22"/>
      <c r="B275" s="5"/>
      <c r="C275" s="5"/>
      <c r="D275" s="23"/>
      <c r="E275" s="5"/>
      <c r="F275" s="5"/>
      <c r="G275" s="31">
        <f>IF($B275="","",IFERROR(INDEX(Settings!$B$41:$B$55,MATCH($B275,Settings!$A$41:$A$55,0)),"Check category"))</f>
      </c>
    </row>
    <row r="276" spans="1:7" x14ac:dyDescent="0.25">
      <c r="A276" s="22"/>
      <c r="B276" s="5"/>
      <c r="C276" s="5"/>
      <c r="D276" s="23"/>
      <c r="E276" s="5"/>
      <c r="F276" s="5"/>
      <c r="G276" s="31">
        <f>IF($B276="","",IFERROR(INDEX(Settings!$B$41:$B$55,MATCH($B276,Settings!$A$41:$A$55,0)),"Check category"))</f>
      </c>
    </row>
    <row r="277" spans="1:7" x14ac:dyDescent="0.25">
      <c r="A277" s="22"/>
      <c r="B277" s="5"/>
      <c r="C277" s="5"/>
      <c r="D277" s="23"/>
      <c r="E277" s="5"/>
      <c r="F277" s="5"/>
      <c r="G277" s="31">
        <f>IF($B277="","",IFERROR(INDEX(Settings!$B$41:$B$55,MATCH($B277,Settings!$A$41:$A$55,0)),"Check category"))</f>
      </c>
    </row>
    <row r="278" spans="1:7" x14ac:dyDescent="0.25">
      <c r="A278" s="22"/>
      <c r="B278" s="5"/>
      <c r="C278" s="5"/>
      <c r="D278" s="23"/>
      <c r="E278" s="5"/>
      <c r="F278" s="5"/>
      <c r="G278" s="31">
        <f>IF($B278="","",IFERROR(INDEX(Settings!$B$41:$B$55,MATCH($B278,Settings!$A$41:$A$55,0)),"Check category"))</f>
      </c>
    </row>
    <row r="279" spans="1:7" x14ac:dyDescent="0.25">
      <c r="A279" s="22"/>
      <c r="B279" s="5"/>
      <c r="C279" s="5"/>
      <c r="D279" s="23"/>
      <c r="E279" s="5"/>
      <c r="F279" s="5"/>
      <c r="G279" s="31">
        <f>IF($B279="","",IFERROR(INDEX(Settings!$B$41:$B$55,MATCH($B279,Settings!$A$41:$A$55,0)),"Check category"))</f>
      </c>
    </row>
    <row r="280" spans="1:7" x14ac:dyDescent="0.25">
      <c r="A280" s="22"/>
      <c r="B280" s="5"/>
      <c r="C280" s="5"/>
      <c r="D280" s="23"/>
      <c r="E280" s="5"/>
      <c r="F280" s="5"/>
      <c r="G280" s="31">
        <f>IF($B280="","",IFERROR(INDEX(Settings!$B$41:$B$55,MATCH($B280,Settings!$A$41:$A$55,0)),"Check category"))</f>
      </c>
    </row>
    <row r="281" spans="1:7" x14ac:dyDescent="0.25">
      <c r="A281" s="22"/>
      <c r="B281" s="5"/>
      <c r="C281" s="5"/>
      <c r="D281" s="23"/>
      <c r="E281" s="5"/>
      <c r="F281" s="5"/>
      <c r="G281" s="31">
        <f>IF($B281="","",IFERROR(INDEX(Settings!$B$41:$B$55,MATCH($B281,Settings!$A$41:$A$55,0)),"Check category"))</f>
      </c>
    </row>
    <row r="282" spans="1:7" x14ac:dyDescent="0.25">
      <c r="A282" s="22"/>
      <c r="B282" s="5"/>
      <c r="C282" s="5"/>
      <c r="D282" s="23"/>
      <c r="E282" s="5"/>
      <c r="F282" s="5"/>
      <c r="G282" s="31">
        <f>IF($B282="","",IFERROR(INDEX(Settings!$B$41:$B$55,MATCH($B282,Settings!$A$41:$A$55,0)),"Check category"))</f>
      </c>
    </row>
    <row r="283" spans="1:7" x14ac:dyDescent="0.25">
      <c r="A283" s="22"/>
      <c r="B283" s="5"/>
      <c r="C283" s="5"/>
      <c r="D283" s="23"/>
      <c r="E283" s="5"/>
      <c r="F283" s="5"/>
      <c r="G283" s="31">
        <f>IF($B283="","",IFERROR(INDEX(Settings!$B$41:$B$55,MATCH($B283,Settings!$A$41:$A$55,0)),"Check category"))</f>
      </c>
    </row>
    <row r="284" spans="1:7" x14ac:dyDescent="0.25">
      <c r="A284" s="22"/>
      <c r="B284" s="5"/>
      <c r="C284" s="5"/>
      <c r="D284" s="23"/>
      <c r="E284" s="5"/>
      <c r="F284" s="5"/>
      <c r="G284" s="31">
        <f>IF($B284="","",IFERROR(INDEX(Settings!$B$41:$B$55,MATCH($B284,Settings!$A$41:$A$55,0)),"Check category"))</f>
      </c>
    </row>
    <row r="285" spans="1:7" x14ac:dyDescent="0.25">
      <c r="A285" s="22"/>
      <c r="B285" s="5"/>
      <c r="C285" s="5"/>
      <c r="D285" s="23"/>
      <c r="E285" s="5"/>
      <c r="F285" s="5"/>
      <c r="G285" s="31">
        <f>IF($B285="","",IFERROR(INDEX(Settings!$B$41:$B$55,MATCH($B285,Settings!$A$41:$A$55,0)),"Check category"))</f>
      </c>
    </row>
    <row r="286" spans="1:7" x14ac:dyDescent="0.25">
      <c r="A286" s="22"/>
      <c r="B286" s="5"/>
      <c r="C286" s="5"/>
      <c r="D286" s="23"/>
      <c r="E286" s="5"/>
      <c r="F286" s="5"/>
      <c r="G286" s="31">
        <f>IF($B286="","",IFERROR(INDEX(Settings!$B$41:$B$55,MATCH($B286,Settings!$A$41:$A$55,0)),"Check category"))</f>
      </c>
    </row>
    <row r="287" spans="1:7" x14ac:dyDescent="0.25">
      <c r="A287" s="22"/>
      <c r="B287" s="5"/>
      <c r="C287" s="5"/>
      <c r="D287" s="23"/>
      <c r="E287" s="5"/>
      <c r="F287" s="5"/>
      <c r="G287" s="31">
        <f>IF($B287="","",IFERROR(INDEX(Settings!$B$41:$B$55,MATCH($B287,Settings!$A$41:$A$55,0)),"Check category"))</f>
      </c>
    </row>
    <row r="288" spans="1:7" x14ac:dyDescent="0.25">
      <c r="A288" s="22"/>
      <c r="B288" s="5"/>
      <c r="C288" s="5"/>
      <c r="D288" s="23"/>
      <c r="E288" s="5"/>
      <c r="F288" s="5"/>
      <c r="G288" s="31">
        <f>IF($B288="","",IFERROR(INDEX(Settings!$B$41:$B$55,MATCH($B288,Settings!$A$41:$A$55,0)),"Check category"))</f>
      </c>
    </row>
    <row r="289" spans="1:7" x14ac:dyDescent="0.25">
      <c r="A289" s="22"/>
      <c r="B289" s="5"/>
      <c r="C289" s="5"/>
      <c r="D289" s="23"/>
      <c r="E289" s="5"/>
      <c r="F289" s="5"/>
      <c r="G289" s="31">
        <f>IF($B289="","",IFERROR(INDEX(Settings!$B$41:$B$55,MATCH($B289,Settings!$A$41:$A$55,0)),"Check category"))</f>
      </c>
    </row>
    <row r="290" spans="1:7" x14ac:dyDescent="0.25">
      <c r="A290" s="22"/>
      <c r="B290" s="5"/>
      <c r="C290" s="5"/>
      <c r="D290" s="23"/>
      <c r="E290" s="5"/>
      <c r="F290" s="5"/>
      <c r="G290" s="31">
        <f>IF($B290="","",IFERROR(INDEX(Settings!$B$41:$B$55,MATCH($B290,Settings!$A$41:$A$55,0)),"Check category"))</f>
      </c>
    </row>
    <row r="291" spans="1:7" x14ac:dyDescent="0.25">
      <c r="A291" s="22"/>
      <c r="B291" s="5"/>
      <c r="C291" s="5"/>
      <c r="D291" s="23"/>
      <c r="E291" s="5"/>
      <c r="F291" s="5"/>
      <c r="G291" s="31">
        <f>IF($B291="","",IFERROR(INDEX(Settings!$B$41:$B$55,MATCH($B291,Settings!$A$41:$A$55,0)),"Check category"))</f>
      </c>
    </row>
    <row r="292" spans="1:7" x14ac:dyDescent="0.25">
      <c r="A292" s="22"/>
      <c r="B292" s="5"/>
      <c r="C292" s="5"/>
      <c r="D292" s="23"/>
      <c r="E292" s="5"/>
      <c r="F292" s="5"/>
      <c r="G292" s="31">
        <f>IF($B292="","",IFERROR(INDEX(Settings!$B$41:$B$55,MATCH($B292,Settings!$A$41:$A$55,0)),"Check category"))</f>
      </c>
    </row>
    <row r="293" spans="1:7" x14ac:dyDescent="0.25">
      <c r="A293" s="22"/>
      <c r="B293" s="5"/>
      <c r="C293" s="5"/>
      <c r="D293" s="23"/>
      <c r="E293" s="5"/>
      <c r="F293" s="5"/>
      <c r="G293" s="31">
        <f>IF($B293="","",IFERROR(INDEX(Settings!$B$41:$B$55,MATCH($B293,Settings!$A$41:$A$55,0)),"Check category"))</f>
      </c>
    </row>
    <row r="294" spans="1:7" x14ac:dyDescent="0.25">
      <c r="A294" s="22"/>
      <c r="B294" s="5"/>
      <c r="C294" s="5"/>
      <c r="D294" s="23"/>
      <c r="E294" s="5"/>
      <c r="F294" s="5"/>
      <c r="G294" s="31">
        <f>IF($B294="","",IFERROR(INDEX(Settings!$B$41:$B$55,MATCH($B294,Settings!$A$41:$A$55,0)),"Check category"))</f>
      </c>
    </row>
    <row r="295" spans="1:7" x14ac:dyDescent="0.25">
      <c r="A295" s="22"/>
      <c r="B295" s="5"/>
      <c r="C295" s="5"/>
      <c r="D295" s="23"/>
      <c r="E295" s="5"/>
      <c r="F295" s="5"/>
      <c r="G295" s="31">
        <f>IF($B295="","",IFERROR(INDEX(Settings!$B$41:$B$55,MATCH($B295,Settings!$A$41:$A$55,0)),"Check category"))</f>
      </c>
    </row>
    <row r="296" spans="1:7" x14ac:dyDescent="0.25">
      <c r="A296" s="22"/>
      <c r="B296" s="5"/>
      <c r="C296" s="5"/>
      <c r="D296" s="23"/>
      <c r="E296" s="5"/>
      <c r="F296" s="5"/>
      <c r="G296" s="31">
        <f>IF($B296="","",IFERROR(INDEX(Settings!$B$41:$B$55,MATCH($B296,Settings!$A$41:$A$55,0)),"Check category"))</f>
      </c>
    </row>
    <row r="297" spans="1:7" x14ac:dyDescent="0.25">
      <c r="A297" s="22"/>
      <c r="B297" s="5"/>
      <c r="C297" s="5"/>
      <c r="D297" s="23"/>
      <c r="E297" s="5"/>
      <c r="F297" s="5"/>
      <c r="G297" s="31">
        <f>IF($B297="","",IFERROR(INDEX(Settings!$B$41:$B$55,MATCH($B297,Settings!$A$41:$A$55,0)),"Check category"))</f>
      </c>
    </row>
    <row r="298" spans="1:7" x14ac:dyDescent="0.25">
      <c r="A298" s="22"/>
      <c r="B298" s="5"/>
      <c r="C298" s="5"/>
      <c r="D298" s="23"/>
      <c r="E298" s="5"/>
      <c r="F298" s="5"/>
      <c r="G298" s="31">
        <f>IF($B298="","",IFERROR(INDEX(Settings!$B$41:$B$55,MATCH($B298,Settings!$A$41:$A$55,0)),"Check category"))</f>
      </c>
    </row>
    <row r="299" spans="1:7" x14ac:dyDescent="0.25">
      <c r="A299" s="22"/>
      <c r="B299" s="5"/>
      <c r="C299" s="5"/>
      <c r="D299" s="23"/>
      <c r="E299" s="5"/>
      <c r="F299" s="5"/>
      <c r="G299" s="31">
        <f>IF($B299="","",IFERROR(INDEX(Settings!$B$41:$B$55,MATCH($B299,Settings!$A$41:$A$55,0)),"Check category"))</f>
      </c>
    </row>
    <row r="300" spans="1:7" x14ac:dyDescent="0.25">
      <c r="A300" s="22"/>
      <c r="B300" s="5"/>
      <c r="C300" s="5"/>
      <c r="D300" s="23"/>
      <c r="E300" s="5"/>
      <c r="F300" s="5"/>
      <c r="G300" s="31">
        <f>IF($B300="","",IFERROR(INDEX(Settings!$B$41:$B$55,MATCH($B300,Settings!$A$41:$A$55,0)),"Check category"))</f>
      </c>
    </row>
    <row r="301" spans="1:7" x14ac:dyDescent="0.25">
      <c r="A301" s="22"/>
      <c r="B301" s="5"/>
      <c r="C301" s="5"/>
      <c r="D301" s="23"/>
      <c r="E301" s="5"/>
      <c r="F301" s="5"/>
      <c r="G301" s="31">
        <f>IF($B301="","",IFERROR(INDEX(Settings!$B$41:$B$55,MATCH($B301,Settings!$A$41:$A$55,0)),"Check category"))</f>
      </c>
    </row>
    <row r="302" spans="1:7" x14ac:dyDescent="0.25">
      <c r="A302" s="22"/>
      <c r="B302" s="5"/>
      <c r="C302" s="5"/>
      <c r="D302" s="23"/>
      <c r="E302" s="5"/>
      <c r="F302" s="5"/>
      <c r="G302" s="31">
        <f>IF($B302="","",IFERROR(INDEX(Settings!$B$41:$B$55,MATCH($B302,Settings!$A$41:$A$55,0)),"Check category"))</f>
      </c>
    </row>
    <row r="303" spans="1:7" x14ac:dyDescent="0.25">
      <c r="A303" s="22"/>
      <c r="B303" s="5"/>
      <c r="C303" s="5"/>
      <c r="D303" s="23"/>
      <c r="E303" s="5"/>
      <c r="F303" s="5"/>
      <c r="G303" s="31">
        <f>IF($B303="","",IFERROR(INDEX(Settings!$B$41:$B$55,MATCH($B303,Settings!$A$41:$A$55,0)),"Check category"))</f>
      </c>
    </row>
    <row r="304" spans="1:7" x14ac:dyDescent="0.25">
      <c r="A304" s="22"/>
      <c r="B304" s="5"/>
      <c r="C304" s="5"/>
      <c r="D304" s="23"/>
      <c r="E304" s="5"/>
      <c r="F304" s="5"/>
      <c r="G304" s="31">
        <f>IF($B304="","",IFERROR(INDEX(Settings!$B$41:$B$55,MATCH($B304,Settings!$A$41:$A$55,0)),"Check category"))</f>
      </c>
    </row>
    <row r="305" spans="1:7" x14ac:dyDescent="0.25">
      <c r="A305" s="22"/>
      <c r="B305" s="5"/>
      <c r="C305" s="5"/>
      <c r="D305" s="23"/>
      <c r="E305" s="5"/>
      <c r="F305" s="5"/>
      <c r="G305" s="31">
        <f>IF($B305="","",IFERROR(INDEX(Settings!$B$41:$B$55,MATCH($B305,Settings!$A$41:$A$55,0)),"Check category"))</f>
      </c>
    </row>
    <row r="306" spans="1:7" x14ac:dyDescent="0.25">
      <c r="A306" s="22"/>
      <c r="B306" s="5"/>
      <c r="C306" s="5"/>
      <c r="D306" s="23"/>
      <c r="E306" s="5"/>
      <c r="F306" s="5"/>
      <c r="G306" s="31">
        <f>IF($B306="","",IFERROR(INDEX(Settings!$B$41:$B$55,MATCH($B306,Settings!$A$41:$A$55,0)),"Check category"))</f>
      </c>
    </row>
    <row r="307" spans="1:7" x14ac:dyDescent="0.25">
      <c r="A307" s="22"/>
      <c r="B307" s="5"/>
      <c r="C307" s="5"/>
      <c r="D307" s="23"/>
      <c r="E307" s="5"/>
      <c r="F307" s="5"/>
      <c r="G307" s="31">
        <f>IF($B307="","",IFERROR(INDEX(Settings!$B$41:$B$55,MATCH($B307,Settings!$A$41:$A$55,0)),"Check category"))</f>
      </c>
    </row>
    <row r="308" spans="1:7" x14ac:dyDescent="0.25">
      <c r="A308" s="22"/>
      <c r="B308" s="5"/>
      <c r="C308" s="5"/>
      <c r="D308" s="23"/>
      <c r="E308" s="5"/>
      <c r="F308" s="5"/>
      <c r="G308" s="31">
        <f>IF($B308="","",IFERROR(INDEX(Settings!$B$41:$B$55,MATCH($B308,Settings!$A$41:$A$55,0)),"Check category"))</f>
      </c>
    </row>
    <row r="309" spans="1:7" x14ac:dyDescent="0.25">
      <c r="A309" s="22"/>
      <c r="B309" s="5"/>
      <c r="C309" s="5"/>
      <c r="D309" s="23"/>
      <c r="E309" s="5"/>
      <c r="F309" s="5"/>
      <c r="G309" s="31">
        <f>IF($B309="","",IFERROR(INDEX(Settings!$B$41:$B$55,MATCH($B309,Settings!$A$41:$A$55,0)),"Check category"))</f>
      </c>
    </row>
    <row r="310" spans="1:7" x14ac:dyDescent="0.25">
      <c r="A310" s="22"/>
      <c r="B310" s="5"/>
      <c r="C310" s="5"/>
      <c r="D310" s="23"/>
      <c r="E310" s="5"/>
      <c r="F310" s="5"/>
      <c r="G310" s="31">
        <f>IF($B310="","",IFERROR(INDEX(Settings!$B$41:$B$55,MATCH($B310,Settings!$A$41:$A$55,0)),"Check category"))</f>
      </c>
    </row>
    <row r="311" spans="1:7" x14ac:dyDescent="0.25">
      <c r="A311" s="22"/>
      <c r="B311" s="5"/>
      <c r="C311" s="5"/>
      <c r="D311" s="23"/>
      <c r="E311" s="5"/>
      <c r="F311" s="5"/>
      <c r="G311" s="31">
        <f>IF($B311="","",IFERROR(INDEX(Settings!$B$41:$B$55,MATCH($B311,Settings!$A$41:$A$55,0)),"Check category"))</f>
      </c>
    </row>
    <row r="312" spans="1:7" x14ac:dyDescent="0.25">
      <c r="A312" s="22"/>
      <c r="B312" s="5"/>
      <c r="C312" s="5"/>
      <c r="D312" s="23"/>
      <c r="E312" s="5"/>
      <c r="F312" s="5"/>
      <c r="G312" s="31">
        <f>IF($B312="","",IFERROR(INDEX(Settings!$B$41:$B$55,MATCH($B312,Settings!$A$41:$A$55,0)),"Check category"))</f>
      </c>
    </row>
    <row r="313" spans="1:7" x14ac:dyDescent="0.25">
      <c r="A313" s="22"/>
      <c r="B313" s="5"/>
      <c r="C313" s="5"/>
      <c r="D313" s="23"/>
      <c r="E313" s="5"/>
      <c r="F313" s="5"/>
      <c r="G313" s="31">
        <f>IF($B313="","",IFERROR(INDEX(Settings!$B$41:$B$55,MATCH($B313,Settings!$A$41:$A$55,0)),"Check category"))</f>
      </c>
    </row>
    <row r="314" spans="1:7" x14ac:dyDescent="0.25">
      <c r="A314" s="22"/>
      <c r="B314" s="5"/>
      <c r="C314" s="5"/>
      <c r="D314" s="23"/>
      <c r="E314" s="5"/>
      <c r="F314" s="5"/>
      <c r="G314" s="31">
        <f>IF($B314="","",IFERROR(INDEX(Settings!$B$41:$B$55,MATCH($B314,Settings!$A$41:$A$55,0)),"Check category"))</f>
      </c>
    </row>
    <row r="315" spans="1:7" x14ac:dyDescent="0.25">
      <c r="A315" s="22"/>
      <c r="B315" s="5"/>
      <c r="C315" s="5"/>
      <c r="D315" s="23"/>
      <c r="E315" s="5"/>
      <c r="F315" s="5"/>
      <c r="G315" s="31">
        <f>IF($B315="","",IFERROR(INDEX(Settings!$B$41:$B$55,MATCH($B315,Settings!$A$41:$A$55,0)),"Check category"))</f>
      </c>
    </row>
    <row r="316" spans="1:7" x14ac:dyDescent="0.25">
      <c r="A316" s="22"/>
      <c r="B316" s="5"/>
      <c r="C316" s="5"/>
      <c r="D316" s="23"/>
      <c r="E316" s="5"/>
      <c r="F316" s="5"/>
      <c r="G316" s="31">
        <f>IF($B316="","",IFERROR(INDEX(Settings!$B$41:$B$55,MATCH($B316,Settings!$A$41:$A$55,0)),"Check category"))</f>
      </c>
    </row>
    <row r="317" spans="1:7" x14ac:dyDescent="0.25">
      <c r="A317" s="22"/>
      <c r="B317" s="5"/>
      <c r="C317" s="5"/>
      <c r="D317" s="23"/>
      <c r="E317" s="5"/>
      <c r="F317" s="5"/>
      <c r="G317" s="31">
        <f>IF($B317="","",IFERROR(INDEX(Settings!$B$41:$B$55,MATCH($B317,Settings!$A$41:$A$55,0)),"Check category"))</f>
      </c>
    </row>
    <row r="318" spans="1:7" x14ac:dyDescent="0.25">
      <c r="A318" s="22"/>
      <c r="B318" s="5"/>
      <c r="C318" s="5"/>
      <c r="D318" s="23"/>
      <c r="E318" s="5"/>
      <c r="F318" s="5"/>
      <c r="G318" s="31">
        <f>IF($B318="","",IFERROR(INDEX(Settings!$B$41:$B$55,MATCH($B318,Settings!$A$41:$A$55,0)),"Check category"))</f>
      </c>
    </row>
    <row r="319" spans="1:7" x14ac:dyDescent="0.25">
      <c r="A319" s="22"/>
      <c r="B319" s="5"/>
      <c r="C319" s="5"/>
      <c r="D319" s="23"/>
      <c r="E319" s="5"/>
      <c r="F319" s="5"/>
      <c r="G319" s="31">
        <f>IF($B319="","",IFERROR(INDEX(Settings!$B$41:$B$55,MATCH($B319,Settings!$A$41:$A$55,0)),"Check category"))</f>
      </c>
    </row>
    <row r="320" spans="1:7" x14ac:dyDescent="0.25">
      <c r="A320" s="22"/>
      <c r="B320" s="5"/>
      <c r="C320" s="5"/>
      <c r="D320" s="23"/>
      <c r="E320" s="5"/>
      <c r="F320" s="5"/>
      <c r="G320" s="31">
        <f>IF($B320="","",IFERROR(INDEX(Settings!$B$41:$B$55,MATCH($B320,Settings!$A$41:$A$55,0)),"Check category"))</f>
      </c>
    </row>
    <row r="321" spans="1:7" x14ac:dyDescent="0.25">
      <c r="A321" s="22"/>
      <c r="B321" s="5"/>
      <c r="C321" s="5"/>
      <c r="D321" s="23"/>
      <c r="E321" s="5"/>
      <c r="F321" s="5"/>
      <c r="G321" s="31">
        <f>IF($B321="","",IFERROR(INDEX(Settings!$B$41:$B$55,MATCH($B321,Settings!$A$41:$A$55,0)),"Check category"))</f>
      </c>
    </row>
    <row r="322" spans="1:7" x14ac:dyDescent="0.25">
      <c r="A322" s="22"/>
      <c r="B322" s="5"/>
      <c r="C322" s="5"/>
      <c r="D322" s="23"/>
      <c r="E322" s="5"/>
      <c r="F322" s="5"/>
      <c r="G322" s="31">
        <f>IF($B322="","",IFERROR(INDEX(Settings!$B$41:$B$55,MATCH($B322,Settings!$A$41:$A$55,0)),"Check category"))</f>
      </c>
    </row>
    <row r="323" spans="1:7" x14ac:dyDescent="0.25">
      <c r="A323" s="22"/>
      <c r="B323" s="5"/>
      <c r="C323" s="5"/>
      <c r="D323" s="23"/>
      <c r="E323" s="5"/>
      <c r="F323" s="5"/>
      <c r="G323" s="31">
        <f>IF($B323="","",IFERROR(INDEX(Settings!$B$41:$B$55,MATCH($B323,Settings!$A$41:$A$55,0)),"Check category"))</f>
      </c>
    </row>
    <row r="324" spans="1:7" x14ac:dyDescent="0.25">
      <c r="A324" s="22"/>
      <c r="B324" s="5"/>
      <c r="C324" s="5"/>
      <c r="D324" s="23"/>
      <c r="E324" s="5"/>
      <c r="F324" s="5"/>
      <c r="G324" s="31">
        <f>IF($B324="","",IFERROR(INDEX(Settings!$B$41:$B$55,MATCH($B324,Settings!$A$41:$A$55,0)),"Check category"))</f>
      </c>
    </row>
    <row r="325" spans="1:7" x14ac:dyDescent="0.25">
      <c r="A325" s="22"/>
      <c r="B325" s="5"/>
      <c r="C325" s="5"/>
      <c r="D325" s="23"/>
      <c r="E325" s="5"/>
      <c r="F325" s="5"/>
      <c r="G325" s="31">
        <f>IF($B325="","",IFERROR(INDEX(Settings!$B$41:$B$55,MATCH($B325,Settings!$A$41:$A$55,0)),"Check category"))</f>
      </c>
    </row>
    <row r="326" spans="1:7" x14ac:dyDescent="0.25">
      <c r="A326" s="22"/>
      <c r="B326" s="5"/>
      <c r="C326" s="5"/>
      <c r="D326" s="23"/>
      <c r="E326" s="5"/>
      <c r="F326" s="5"/>
      <c r="G326" s="31">
        <f>IF($B326="","",IFERROR(INDEX(Settings!$B$41:$B$55,MATCH($B326,Settings!$A$41:$A$55,0)),"Check category"))</f>
      </c>
    </row>
    <row r="327" spans="1:7" x14ac:dyDescent="0.25">
      <c r="A327" s="22"/>
      <c r="B327" s="5"/>
      <c r="C327" s="5"/>
      <c r="D327" s="23"/>
      <c r="E327" s="5"/>
      <c r="F327" s="5"/>
      <c r="G327" s="31">
        <f>IF($B327="","",IFERROR(INDEX(Settings!$B$41:$B$55,MATCH($B327,Settings!$A$41:$A$55,0)),"Check category"))</f>
      </c>
    </row>
    <row r="328" spans="1:7" x14ac:dyDescent="0.25">
      <c r="A328" s="22"/>
      <c r="B328" s="5"/>
      <c r="C328" s="5"/>
      <c r="D328" s="23"/>
      <c r="E328" s="5"/>
      <c r="F328" s="5"/>
      <c r="G328" s="31">
        <f>IF($B328="","",IFERROR(INDEX(Settings!$B$41:$B$55,MATCH($B328,Settings!$A$41:$A$55,0)),"Check category"))</f>
      </c>
    </row>
    <row r="329" spans="1:7" x14ac:dyDescent="0.25">
      <c r="A329" s="22"/>
      <c r="B329" s="5"/>
      <c r="C329" s="5"/>
      <c r="D329" s="23"/>
      <c r="E329" s="5"/>
      <c r="F329" s="5"/>
      <c r="G329" s="31">
        <f>IF($B329="","",IFERROR(INDEX(Settings!$B$41:$B$55,MATCH($B329,Settings!$A$41:$A$55,0)),"Check category"))</f>
      </c>
    </row>
    <row r="330" spans="1:7" x14ac:dyDescent="0.25">
      <c r="A330" s="22"/>
      <c r="B330" s="5"/>
      <c r="C330" s="5"/>
      <c r="D330" s="23"/>
      <c r="E330" s="5"/>
      <c r="F330" s="5"/>
      <c r="G330" s="31">
        <f>IF($B330="","",IFERROR(INDEX(Settings!$B$41:$B$55,MATCH($B330,Settings!$A$41:$A$55,0)),"Check category"))</f>
      </c>
    </row>
    <row r="331" spans="1:7" x14ac:dyDescent="0.25">
      <c r="A331" s="22"/>
      <c r="B331" s="5"/>
      <c r="C331" s="5"/>
      <c r="D331" s="23"/>
      <c r="E331" s="5"/>
      <c r="F331" s="5"/>
      <c r="G331" s="31">
        <f>IF($B331="","",IFERROR(INDEX(Settings!$B$41:$B$55,MATCH($B331,Settings!$A$41:$A$55,0)),"Check category"))</f>
      </c>
    </row>
    <row r="332" spans="1:7" x14ac:dyDescent="0.25">
      <c r="A332" s="22"/>
      <c r="B332" s="5"/>
      <c r="C332" s="5"/>
      <c r="D332" s="23"/>
      <c r="E332" s="5"/>
      <c r="F332" s="5"/>
      <c r="G332" s="31">
        <f>IF($B332="","",IFERROR(INDEX(Settings!$B$41:$B$55,MATCH($B332,Settings!$A$41:$A$55,0)),"Check category"))</f>
      </c>
    </row>
    <row r="333" spans="1:7" x14ac:dyDescent="0.25">
      <c r="A333" s="22"/>
      <c r="B333" s="5"/>
      <c r="C333" s="5"/>
      <c r="D333" s="23"/>
      <c r="E333" s="5"/>
      <c r="F333" s="5"/>
      <c r="G333" s="31">
        <f>IF($B333="","",IFERROR(INDEX(Settings!$B$41:$B$55,MATCH($B333,Settings!$A$41:$A$55,0)),"Check category"))</f>
      </c>
    </row>
    <row r="334" spans="1:7" x14ac:dyDescent="0.25">
      <c r="A334" s="22"/>
      <c r="B334" s="5"/>
      <c r="C334" s="5"/>
      <c r="D334" s="23"/>
      <c r="E334" s="5"/>
      <c r="F334" s="5"/>
      <c r="G334" s="31">
        <f>IF($B334="","",IFERROR(INDEX(Settings!$B$41:$B$55,MATCH($B334,Settings!$A$41:$A$55,0)),"Check category"))</f>
      </c>
    </row>
    <row r="335" spans="1:7" x14ac:dyDescent="0.25">
      <c r="A335" s="22"/>
      <c r="B335" s="5"/>
      <c r="C335" s="5"/>
      <c r="D335" s="23"/>
      <c r="E335" s="5"/>
      <c r="F335" s="5"/>
      <c r="G335" s="31">
        <f>IF($B335="","",IFERROR(INDEX(Settings!$B$41:$B$55,MATCH($B335,Settings!$A$41:$A$55,0)),"Check category"))</f>
      </c>
    </row>
    <row r="336" spans="1:7" x14ac:dyDescent="0.25">
      <c r="A336" s="22"/>
      <c r="B336" s="5"/>
      <c r="C336" s="5"/>
      <c r="D336" s="23"/>
      <c r="E336" s="5"/>
      <c r="F336" s="5"/>
      <c r="G336" s="31">
        <f>IF($B336="","",IFERROR(INDEX(Settings!$B$41:$B$55,MATCH($B336,Settings!$A$41:$A$55,0)),"Check category"))</f>
      </c>
    </row>
    <row r="337" spans="1:7" x14ac:dyDescent="0.25">
      <c r="A337" s="22"/>
      <c r="B337" s="5"/>
      <c r="C337" s="5"/>
      <c r="D337" s="23"/>
      <c r="E337" s="5"/>
      <c r="F337" s="5"/>
      <c r="G337" s="31">
        <f>IF($B337="","",IFERROR(INDEX(Settings!$B$41:$B$55,MATCH($B337,Settings!$A$41:$A$55,0)),"Check category"))</f>
      </c>
    </row>
    <row r="338" spans="1:7" x14ac:dyDescent="0.25">
      <c r="A338" s="22"/>
      <c r="B338" s="5"/>
      <c r="C338" s="5"/>
      <c r="D338" s="23"/>
      <c r="E338" s="5"/>
      <c r="F338" s="5"/>
      <c r="G338" s="31">
        <f>IF($B338="","",IFERROR(INDEX(Settings!$B$41:$B$55,MATCH($B338,Settings!$A$41:$A$55,0)),"Check category"))</f>
      </c>
    </row>
    <row r="339" spans="1:7" x14ac:dyDescent="0.25">
      <c r="A339" s="22"/>
      <c r="B339" s="5"/>
      <c r="C339" s="5"/>
      <c r="D339" s="23"/>
      <c r="E339" s="5"/>
      <c r="F339" s="5"/>
      <c r="G339" s="31">
        <f>IF($B339="","",IFERROR(INDEX(Settings!$B$41:$B$55,MATCH($B339,Settings!$A$41:$A$55,0)),"Check category"))</f>
      </c>
    </row>
    <row r="340" spans="1:7" x14ac:dyDescent="0.25">
      <c r="A340" s="22"/>
      <c r="B340" s="5"/>
      <c r="C340" s="5"/>
      <c r="D340" s="23"/>
      <c r="E340" s="5"/>
      <c r="F340" s="5"/>
      <c r="G340" s="31">
        <f>IF($B340="","",IFERROR(INDEX(Settings!$B$41:$B$55,MATCH($B340,Settings!$A$41:$A$55,0)),"Check category"))</f>
      </c>
    </row>
    <row r="341" spans="1:7" x14ac:dyDescent="0.25">
      <c r="A341" s="22"/>
      <c r="B341" s="5"/>
      <c r="C341" s="5"/>
      <c r="D341" s="23"/>
      <c r="E341" s="5"/>
      <c r="F341" s="5"/>
      <c r="G341" s="31">
        <f>IF($B341="","",IFERROR(INDEX(Settings!$B$41:$B$55,MATCH($B341,Settings!$A$41:$A$55,0)),"Check category"))</f>
      </c>
    </row>
    <row r="342" spans="1:7" x14ac:dyDescent="0.25">
      <c r="A342" s="22"/>
      <c r="B342" s="5"/>
      <c r="C342" s="5"/>
      <c r="D342" s="23"/>
      <c r="E342" s="5"/>
      <c r="F342" s="5"/>
      <c r="G342" s="31">
        <f>IF($B342="","",IFERROR(INDEX(Settings!$B$41:$B$55,MATCH($B342,Settings!$A$41:$A$55,0)),"Check category"))</f>
      </c>
    </row>
    <row r="343" spans="1:7" x14ac:dyDescent="0.25">
      <c r="A343" s="22"/>
      <c r="B343" s="5"/>
      <c r="C343" s="5"/>
      <c r="D343" s="23"/>
      <c r="E343" s="5"/>
      <c r="F343" s="5"/>
      <c r="G343" s="31">
        <f>IF($B343="","",IFERROR(INDEX(Settings!$B$41:$B$55,MATCH($B343,Settings!$A$41:$A$55,0)),"Check category"))</f>
      </c>
    </row>
    <row r="344" spans="1:7" x14ac:dyDescent="0.25">
      <c r="A344" s="22"/>
      <c r="B344" s="5"/>
      <c r="C344" s="5"/>
      <c r="D344" s="23"/>
      <c r="E344" s="5"/>
      <c r="F344" s="5"/>
      <c r="G344" s="31">
        <f>IF($B344="","",IFERROR(INDEX(Settings!$B$41:$B$55,MATCH($B344,Settings!$A$41:$A$55,0)),"Check category"))</f>
      </c>
    </row>
    <row r="345" spans="1:7" x14ac:dyDescent="0.25">
      <c r="A345" s="22"/>
      <c r="B345" s="5"/>
      <c r="C345" s="5"/>
      <c r="D345" s="23"/>
      <c r="E345" s="5"/>
      <c r="F345" s="5"/>
      <c r="G345" s="31">
        <f>IF($B345="","",IFERROR(INDEX(Settings!$B$41:$B$55,MATCH($B345,Settings!$A$41:$A$55,0)),"Check category"))</f>
      </c>
    </row>
    <row r="346" spans="1:7" x14ac:dyDescent="0.25">
      <c r="A346" s="22"/>
      <c r="B346" s="5"/>
      <c r="C346" s="5"/>
      <c r="D346" s="23"/>
      <c r="E346" s="5"/>
      <c r="F346" s="5"/>
      <c r="G346" s="31">
        <f>IF($B346="","",IFERROR(INDEX(Settings!$B$41:$B$55,MATCH($B346,Settings!$A$41:$A$55,0)),"Check category"))</f>
      </c>
    </row>
    <row r="347" spans="1:7" x14ac:dyDescent="0.25">
      <c r="A347" s="22"/>
      <c r="B347" s="5"/>
      <c r="C347" s="5"/>
      <c r="D347" s="23"/>
      <c r="E347" s="5"/>
      <c r="F347" s="5"/>
      <c r="G347" s="31">
        <f>IF($B347="","",IFERROR(INDEX(Settings!$B$41:$B$55,MATCH($B347,Settings!$A$41:$A$55,0)),"Check category"))</f>
      </c>
    </row>
    <row r="348" spans="1:7" x14ac:dyDescent="0.25">
      <c r="A348" s="22"/>
      <c r="B348" s="5"/>
      <c r="C348" s="5"/>
      <c r="D348" s="23"/>
      <c r="E348" s="5"/>
      <c r="F348" s="5"/>
      <c r="G348" s="31">
        <f>IF($B348="","",IFERROR(INDEX(Settings!$B$41:$B$55,MATCH($B348,Settings!$A$41:$A$55,0)),"Check category"))</f>
      </c>
    </row>
    <row r="349" spans="1:7" x14ac:dyDescent="0.25">
      <c r="A349" s="22"/>
      <c r="B349" s="5"/>
      <c r="C349" s="5"/>
      <c r="D349" s="23"/>
      <c r="E349" s="5"/>
      <c r="F349" s="5"/>
      <c r="G349" s="31">
        <f>IF($B349="","",IFERROR(INDEX(Settings!$B$41:$B$55,MATCH($B349,Settings!$A$41:$A$55,0)),"Check category"))</f>
      </c>
    </row>
    <row r="350" spans="1:7" x14ac:dyDescent="0.25">
      <c r="A350" s="22"/>
      <c r="B350" s="5"/>
      <c r="C350" s="5"/>
      <c r="D350" s="23"/>
      <c r="E350" s="5"/>
      <c r="F350" s="5"/>
      <c r="G350" s="31">
        <f>IF($B350="","",IFERROR(INDEX(Settings!$B$41:$B$55,MATCH($B350,Settings!$A$41:$A$55,0)),"Check category"))</f>
      </c>
    </row>
    <row r="351" spans="1:7" x14ac:dyDescent="0.25">
      <c r="A351" s="22"/>
      <c r="B351" s="5"/>
      <c r="C351" s="5"/>
      <c r="D351" s="23"/>
      <c r="E351" s="5"/>
      <c r="F351" s="5"/>
      <c r="G351" s="31">
        <f>IF($B351="","",IFERROR(INDEX(Settings!$B$41:$B$55,MATCH($B351,Settings!$A$41:$A$55,0)),"Check category"))</f>
      </c>
    </row>
    <row r="352" spans="1:7" x14ac:dyDescent="0.25">
      <c r="A352" s="22"/>
      <c r="B352" s="5"/>
      <c r="C352" s="5"/>
      <c r="D352" s="23"/>
      <c r="E352" s="5"/>
      <c r="F352" s="5"/>
      <c r="G352" s="31">
        <f>IF($B352="","",IFERROR(INDEX(Settings!$B$41:$B$55,MATCH($B352,Settings!$A$41:$A$55,0)),"Check category"))</f>
      </c>
    </row>
    <row r="353" spans="1:7" x14ac:dyDescent="0.25">
      <c r="A353" s="22"/>
      <c r="B353" s="5"/>
      <c r="C353" s="5"/>
      <c r="D353" s="23"/>
      <c r="E353" s="5"/>
      <c r="F353" s="5"/>
      <c r="G353" s="31">
        <f>IF($B353="","",IFERROR(INDEX(Settings!$B$41:$B$55,MATCH($B353,Settings!$A$41:$A$55,0)),"Check category"))</f>
      </c>
    </row>
    <row r="354" spans="1:7" x14ac:dyDescent="0.25">
      <c r="A354" s="22"/>
      <c r="B354" s="5"/>
      <c r="C354" s="5"/>
      <c r="D354" s="23"/>
      <c r="E354" s="5"/>
      <c r="F354" s="5"/>
      <c r="G354" s="31">
        <f>IF($B354="","",IFERROR(INDEX(Settings!$B$41:$B$55,MATCH($B354,Settings!$A$41:$A$55,0)),"Check category"))</f>
      </c>
    </row>
    <row r="355" spans="1:7" x14ac:dyDescent="0.25">
      <c r="A355" s="22"/>
      <c r="B355" s="5"/>
      <c r="C355" s="5"/>
      <c r="D355" s="23"/>
      <c r="E355" s="5"/>
      <c r="F355" s="5"/>
      <c r="G355" s="31">
        <f>IF($B355="","",IFERROR(INDEX(Settings!$B$41:$B$55,MATCH($B355,Settings!$A$41:$A$55,0)),"Check category"))</f>
      </c>
    </row>
    <row r="356" spans="1:7" x14ac:dyDescent="0.25">
      <c r="A356" s="22"/>
      <c r="B356" s="5"/>
      <c r="C356" s="5"/>
      <c r="D356" s="23"/>
      <c r="E356" s="5"/>
      <c r="F356" s="5"/>
      <c r="G356" s="31">
        <f>IF($B356="","",IFERROR(INDEX(Settings!$B$41:$B$55,MATCH($B356,Settings!$A$41:$A$55,0)),"Check category"))</f>
      </c>
    </row>
    <row r="357" spans="1:7" x14ac:dyDescent="0.25">
      <c r="A357" s="22"/>
      <c r="B357" s="5"/>
      <c r="C357" s="5"/>
      <c r="D357" s="23"/>
      <c r="E357" s="5"/>
      <c r="F357" s="5"/>
      <c r="G357" s="31">
        <f>IF($B357="","",IFERROR(INDEX(Settings!$B$41:$B$55,MATCH($B357,Settings!$A$41:$A$55,0)),"Check category"))</f>
      </c>
    </row>
    <row r="358" spans="1:7" x14ac:dyDescent="0.25">
      <c r="A358" s="22"/>
      <c r="B358" s="5"/>
      <c r="C358" s="5"/>
      <c r="D358" s="23"/>
      <c r="E358" s="5"/>
      <c r="F358" s="5"/>
      <c r="G358" s="31">
        <f>IF($B358="","",IFERROR(INDEX(Settings!$B$41:$B$55,MATCH($B358,Settings!$A$41:$A$55,0)),"Check category"))</f>
      </c>
    </row>
    <row r="359" spans="1:7" x14ac:dyDescent="0.25">
      <c r="A359" s="22"/>
      <c r="B359" s="5"/>
      <c r="C359" s="5"/>
      <c r="D359" s="23"/>
      <c r="E359" s="5"/>
      <c r="F359" s="5"/>
      <c r="G359" s="31">
        <f>IF($B359="","",IFERROR(INDEX(Settings!$B$41:$B$55,MATCH($B359,Settings!$A$41:$A$55,0)),"Check category"))</f>
      </c>
    </row>
    <row r="360" spans="1:7" x14ac:dyDescent="0.25">
      <c r="A360" s="22"/>
      <c r="B360" s="5"/>
      <c r="C360" s="5"/>
      <c r="D360" s="23"/>
      <c r="E360" s="5"/>
      <c r="F360" s="5"/>
      <c r="G360" s="31">
        <f>IF($B360="","",IFERROR(INDEX(Settings!$B$41:$B$55,MATCH($B360,Settings!$A$41:$A$55,0)),"Check category"))</f>
      </c>
    </row>
    <row r="361" spans="1:7" x14ac:dyDescent="0.25">
      <c r="A361" s="22"/>
      <c r="B361" s="5"/>
      <c r="C361" s="5"/>
      <c r="D361" s="23"/>
      <c r="E361" s="5"/>
      <c r="F361" s="5"/>
      <c r="G361" s="31">
        <f>IF($B361="","",IFERROR(INDEX(Settings!$B$41:$B$55,MATCH($B361,Settings!$A$41:$A$55,0)),"Check category"))</f>
      </c>
    </row>
    <row r="362" spans="1:7" x14ac:dyDescent="0.25">
      <c r="A362" s="22"/>
      <c r="B362" s="5"/>
      <c r="C362" s="5"/>
      <c r="D362" s="23"/>
      <c r="E362" s="5"/>
      <c r="F362" s="5"/>
      <c r="G362" s="31">
        <f>IF($B362="","",IFERROR(INDEX(Settings!$B$41:$B$55,MATCH($B362,Settings!$A$41:$A$55,0)),"Check category"))</f>
      </c>
    </row>
    <row r="363" spans="1:7" x14ac:dyDescent="0.25">
      <c r="A363" s="22"/>
      <c r="B363" s="5"/>
      <c r="C363" s="5"/>
      <c r="D363" s="23"/>
      <c r="E363" s="5"/>
      <c r="F363" s="5"/>
      <c r="G363" s="31">
        <f>IF($B363="","",IFERROR(INDEX(Settings!$B$41:$B$55,MATCH($B363,Settings!$A$41:$A$55,0)),"Check category"))</f>
      </c>
    </row>
    <row r="364" spans="1:7" x14ac:dyDescent="0.25">
      <c r="A364" s="22"/>
      <c r="B364" s="5"/>
      <c r="C364" s="5"/>
      <c r="D364" s="23"/>
      <c r="E364" s="5"/>
      <c r="F364" s="5"/>
      <c r="G364" s="31">
        <f>IF($B364="","",IFERROR(INDEX(Settings!$B$41:$B$55,MATCH($B364,Settings!$A$41:$A$55,0)),"Check category"))</f>
      </c>
    </row>
    <row r="365" spans="1:7" x14ac:dyDescent="0.25">
      <c r="A365" s="22"/>
      <c r="B365" s="5"/>
      <c r="C365" s="5"/>
      <c r="D365" s="23"/>
      <c r="E365" s="5"/>
      <c r="F365" s="5"/>
      <c r="G365" s="31">
        <f>IF($B365="","",IFERROR(INDEX(Settings!$B$41:$B$55,MATCH($B365,Settings!$A$41:$A$55,0)),"Check category"))</f>
      </c>
    </row>
    <row r="366" spans="1:7" x14ac:dyDescent="0.25">
      <c r="A366" s="22"/>
      <c r="B366" s="5"/>
      <c r="C366" s="5"/>
      <c r="D366" s="23"/>
      <c r="E366" s="5"/>
      <c r="F366" s="5"/>
      <c r="G366" s="31">
        <f>IF($B366="","",IFERROR(INDEX(Settings!$B$41:$B$55,MATCH($B366,Settings!$A$41:$A$55,0)),"Check category"))</f>
      </c>
    </row>
    <row r="367" spans="1:7" x14ac:dyDescent="0.25">
      <c r="A367" s="22"/>
      <c r="B367" s="5"/>
      <c r="C367" s="5"/>
      <c r="D367" s="23"/>
      <c r="E367" s="5"/>
      <c r="F367" s="5"/>
      <c r="G367" s="31">
        <f>IF($B367="","",IFERROR(INDEX(Settings!$B$41:$B$55,MATCH($B367,Settings!$A$41:$A$55,0)),"Check category"))</f>
      </c>
    </row>
    <row r="368" spans="1:7" x14ac:dyDescent="0.25">
      <c r="A368" s="22"/>
      <c r="B368" s="5"/>
      <c r="C368" s="5"/>
      <c r="D368" s="23"/>
      <c r="E368" s="5"/>
      <c r="F368" s="5"/>
      <c r="G368" s="31">
        <f>IF($B368="","",IFERROR(INDEX(Settings!$B$41:$B$55,MATCH($B368,Settings!$A$41:$A$55,0)),"Check category"))</f>
      </c>
    </row>
    <row r="369" spans="1:7" x14ac:dyDescent="0.25">
      <c r="A369" s="22"/>
      <c r="B369" s="5"/>
      <c r="C369" s="5"/>
      <c r="D369" s="23"/>
      <c r="E369" s="5"/>
      <c r="F369" s="5"/>
      <c r="G369" s="31">
        <f>IF($B369="","",IFERROR(INDEX(Settings!$B$41:$B$55,MATCH($B369,Settings!$A$41:$A$55,0)),"Check category"))</f>
      </c>
    </row>
    <row r="370" spans="1:7" x14ac:dyDescent="0.25">
      <c r="A370" s="22"/>
      <c r="B370" s="5"/>
      <c r="C370" s="5"/>
      <c r="D370" s="23"/>
      <c r="E370" s="5"/>
      <c r="F370" s="5"/>
      <c r="G370" s="31">
        <f>IF($B370="","",IFERROR(INDEX(Settings!$B$41:$B$55,MATCH($B370,Settings!$A$41:$A$55,0)),"Check category"))</f>
      </c>
    </row>
    <row r="371" spans="1:7" x14ac:dyDescent="0.25">
      <c r="A371" s="22"/>
      <c r="B371" s="5"/>
      <c r="C371" s="5"/>
      <c r="D371" s="23"/>
      <c r="E371" s="5"/>
      <c r="F371" s="5"/>
      <c r="G371" s="31">
        <f>IF($B371="","",IFERROR(INDEX(Settings!$B$41:$B$55,MATCH($B371,Settings!$A$41:$A$55,0)),"Check category"))</f>
      </c>
    </row>
    <row r="372" spans="1:7" x14ac:dyDescent="0.25">
      <c r="A372" s="22"/>
      <c r="B372" s="5"/>
      <c r="C372" s="5"/>
      <c r="D372" s="23"/>
      <c r="E372" s="5"/>
      <c r="F372" s="5"/>
      <c r="G372" s="31">
        <f>IF($B372="","",IFERROR(INDEX(Settings!$B$41:$B$55,MATCH($B372,Settings!$A$41:$A$55,0)),"Check category"))</f>
      </c>
    </row>
    <row r="373" spans="1:7" x14ac:dyDescent="0.25">
      <c r="A373" s="22"/>
      <c r="B373" s="5"/>
      <c r="C373" s="5"/>
      <c r="D373" s="23"/>
      <c r="E373" s="5"/>
      <c r="F373" s="5"/>
      <c r="G373" s="31">
        <f>IF($B373="","",IFERROR(INDEX(Settings!$B$41:$B$55,MATCH($B373,Settings!$A$41:$A$55,0)),"Check category"))</f>
      </c>
    </row>
    <row r="374" spans="1:7" x14ac:dyDescent="0.25">
      <c r="A374" s="22"/>
      <c r="B374" s="5"/>
      <c r="C374" s="5"/>
      <c r="D374" s="23"/>
      <c r="E374" s="5"/>
      <c r="F374" s="5"/>
      <c r="G374" s="31">
        <f>IF($B374="","",IFERROR(INDEX(Settings!$B$41:$B$55,MATCH($B374,Settings!$A$41:$A$55,0)),"Check category"))</f>
      </c>
    </row>
    <row r="375" spans="1:7" x14ac:dyDescent="0.25">
      <c r="A375" s="22"/>
      <c r="B375" s="5"/>
      <c r="C375" s="5"/>
      <c r="D375" s="23"/>
      <c r="E375" s="5"/>
      <c r="F375" s="5"/>
      <c r="G375" s="31">
        <f>IF($B375="","",IFERROR(INDEX(Settings!$B$41:$B$55,MATCH($B375,Settings!$A$41:$A$55,0)),"Check category"))</f>
      </c>
    </row>
    <row r="376" spans="1:7" x14ac:dyDescent="0.25">
      <c r="A376" s="22"/>
      <c r="B376" s="5"/>
      <c r="C376" s="5"/>
      <c r="D376" s="23"/>
      <c r="E376" s="5"/>
      <c r="F376" s="5"/>
      <c r="G376" s="31">
        <f>IF($B376="","",IFERROR(INDEX(Settings!$B$41:$B$55,MATCH($B376,Settings!$A$41:$A$55,0)),"Check category"))</f>
      </c>
    </row>
    <row r="377" spans="1:7" x14ac:dyDescent="0.25">
      <c r="A377" s="22"/>
      <c r="B377" s="5"/>
      <c r="C377" s="5"/>
      <c r="D377" s="23"/>
      <c r="E377" s="5"/>
      <c r="F377" s="5"/>
      <c r="G377" s="31">
        <f>IF($B377="","",IFERROR(INDEX(Settings!$B$41:$B$55,MATCH($B377,Settings!$A$41:$A$55,0)),"Check category"))</f>
      </c>
    </row>
    <row r="378" spans="1:7" x14ac:dyDescent="0.25">
      <c r="A378" s="22"/>
      <c r="B378" s="5"/>
      <c r="C378" s="5"/>
      <c r="D378" s="23"/>
      <c r="E378" s="5"/>
      <c r="F378" s="5"/>
      <c r="G378" s="31">
        <f>IF($B378="","",IFERROR(INDEX(Settings!$B$41:$B$55,MATCH($B378,Settings!$A$41:$A$55,0)),"Check category"))</f>
      </c>
    </row>
    <row r="379" spans="1:7" x14ac:dyDescent="0.25">
      <c r="A379" s="22"/>
      <c r="B379" s="5"/>
      <c r="C379" s="5"/>
      <c r="D379" s="23"/>
      <c r="E379" s="5"/>
      <c r="F379" s="5"/>
      <c r="G379" s="31">
        <f>IF($B379="","",IFERROR(INDEX(Settings!$B$41:$B$55,MATCH($B379,Settings!$A$41:$A$55,0)),"Check category"))</f>
      </c>
    </row>
    <row r="380" spans="1:7" x14ac:dyDescent="0.25">
      <c r="A380" s="22"/>
      <c r="B380" s="5"/>
      <c r="C380" s="5"/>
      <c r="D380" s="23"/>
      <c r="E380" s="5"/>
      <c r="F380" s="5"/>
      <c r="G380" s="31">
        <f>IF($B380="","",IFERROR(INDEX(Settings!$B$41:$B$55,MATCH($B380,Settings!$A$41:$A$55,0)),"Check category"))</f>
      </c>
    </row>
    <row r="381" spans="1:7" x14ac:dyDescent="0.25">
      <c r="A381" s="22"/>
      <c r="B381" s="5"/>
      <c r="C381" s="5"/>
      <c r="D381" s="23"/>
      <c r="E381" s="5"/>
      <c r="F381" s="5"/>
      <c r="G381" s="31">
        <f>IF($B381="","",IFERROR(INDEX(Settings!$B$41:$B$55,MATCH($B381,Settings!$A$41:$A$55,0)),"Check category"))</f>
      </c>
    </row>
    <row r="382" spans="1:7" x14ac:dyDescent="0.25">
      <c r="A382" s="22"/>
      <c r="B382" s="5"/>
      <c r="C382" s="5"/>
      <c r="D382" s="23"/>
      <c r="E382" s="5"/>
      <c r="F382" s="5"/>
      <c r="G382" s="31">
        <f>IF($B382="","",IFERROR(INDEX(Settings!$B$41:$B$55,MATCH($B382,Settings!$A$41:$A$55,0)),"Check category"))</f>
      </c>
    </row>
    <row r="383" spans="1:7" x14ac:dyDescent="0.25">
      <c r="A383" s="22"/>
      <c r="B383" s="5"/>
      <c r="C383" s="5"/>
      <c r="D383" s="23"/>
      <c r="E383" s="5"/>
      <c r="F383" s="5"/>
      <c r="G383" s="31">
        <f>IF($B383="","",IFERROR(INDEX(Settings!$B$41:$B$55,MATCH($B383,Settings!$A$41:$A$55,0)),"Check category"))</f>
      </c>
    </row>
    <row r="384" spans="1:7" x14ac:dyDescent="0.25">
      <c r="A384" s="22"/>
      <c r="B384" s="5"/>
      <c r="C384" s="5"/>
      <c r="D384" s="23"/>
      <c r="E384" s="5"/>
      <c r="F384" s="5"/>
      <c r="G384" s="31">
        <f>IF($B384="","",IFERROR(INDEX(Settings!$B$41:$B$55,MATCH($B384,Settings!$A$41:$A$55,0)),"Check category"))</f>
      </c>
    </row>
    <row r="385" spans="1:7" x14ac:dyDescent="0.25">
      <c r="A385" s="22"/>
      <c r="B385" s="5"/>
      <c r="C385" s="5"/>
      <c r="D385" s="23"/>
      <c r="E385" s="5"/>
      <c r="F385" s="5"/>
      <c r="G385" s="31">
        <f>IF($B385="","",IFERROR(INDEX(Settings!$B$41:$B$55,MATCH($B385,Settings!$A$41:$A$55,0)),"Check category"))</f>
      </c>
    </row>
    <row r="386" spans="1:7" x14ac:dyDescent="0.25">
      <c r="A386" s="22"/>
      <c r="B386" s="5"/>
      <c r="C386" s="5"/>
      <c r="D386" s="23"/>
      <c r="E386" s="5"/>
      <c r="F386" s="5"/>
      <c r="G386" s="31">
        <f>IF($B386="","",IFERROR(INDEX(Settings!$B$41:$B$55,MATCH($B386,Settings!$A$41:$A$55,0)),"Check category"))</f>
      </c>
    </row>
    <row r="387" spans="1:7" x14ac:dyDescent="0.25">
      <c r="A387" s="22"/>
      <c r="B387" s="5"/>
      <c r="C387" s="5"/>
      <c r="D387" s="23"/>
      <c r="E387" s="5"/>
      <c r="F387" s="5"/>
      <c r="G387" s="31">
        <f>IF($B387="","",IFERROR(INDEX(Settings!$B$41:$B$55,MATCH($B387,Settings!$A$41:$A$55,0)),"Check category"))</f>
      </c>
    </row>
    <row r="388" spans="1:7" x14ac:dyDescent="0.25">
      <c r="A388" s="22"/>
      <c r="B388" s="5"/>
      <c r="C388" s="5"/>
      <c r="D388" s="23"/>
      <c r="E388" s="5"/>
      <c r="F388" s="5"/>
      <c r="G388" s="31">
        <f>IF($B388="","",IFERROR(INDEX(Settings!$B$41:$B$55,MATCH($B388,Settings!$A$41:$A$55,0)),"Check category"))</f>
      </c>
    </row>
    <row r="389" spans="1:7" x14ac:dyDescent="0.25">
      <c r="A389" s="22"/>
      <c r="B389" s="5"/>
      <c r="C389" s="5"/>
      <c r="D389" s="23"/>
      <c r="E389" s="5"/>
      <c r="F389" s="5"/>
      <c r="G389" s="31">
        <f>IF($B389="","",IFERROR(INDEX(Settings!$B$41:$B$55,MATCH($B389,Settings!$A$41:$A$55,0)),"Check category"))</f>
      </c>
    </row>
    <row r="390" spans="1:7" x14ac:dyDescent="0.25">
      <c r="A390" s="22"/>
      <c r="B390" s="5"/>
      <c r="C390" s="5"/>
      <c r="D390" s="23"/>
      <c r="E390" s="5"/>
      <c r="F390" s="5"/>
      <c r="G390" s="31">
        <f>IF($B390="","",IFERROR(INDEX(Settings!$B$41:$B$55,MATCH($B390,Settings!$A$41:$A$55,0)),"Check category"))</f>
      </c>
    </row>
    <row r="391" spans="1:7" x14ac:dyDescent="0.25">
      <c r="A391" s="22"/>
      <c r="B391" s="5"/>
      <c r="C391" s="5"/>
      <c r="D391" s="23"/>
      <c r="E391" s="5"/>
      <c r="F391" s="5"/>
      <c r="G391" s="31">
        <f>IF($B391="","",IFERROR(INDEX(Settings!$B$41:$B$55,MATCH($B391,Settings!$A$41:$A$55,0)),"Check category"))</f>
      </c>
    </row>
    <row r="392" spans="1:7" x14ac:dyDescent="0.25">
      <c r="A392" s="22"/>
      <c r="B392" s="5"/>
      <c r="C392" s="5"/>
      <c r="D392" s="23"/>
      <c r="E392" s="5"/>
      <c r="F392" s="5"/>
      <c r="G392" s="31">
        <f>IF($B392="","",IFERROR(INDEX(Settings!$B$41:$B$55,MATCH($B392,Settings!$A$41:$A$55,0)),"Check category"))</f>
      </c>
    </row>
    <row r="393" spans="1:7" x14ac:dyDescent="0.25">
      <c r="A393" s="22"/>
      <c r="B393" s="5"/>
      <c r="C393" s="5"/>
      <c r="D393" s="23"/>
      <c r="E393" s="5"/>
      <c r="F393" s="5"/>
      <c r="G393" s="31">
        <f>IF($B393="","",IFERROR(INDEX(Settings!$B$41:$B$55,MATCH($B393,Settings!$A$41:$A$55,0)),"Check category"))</f>
      </c>
    </row>
    <row r="394" spans="1:7" x14ac:dyDescent="0.25">
      <c r="A394" s="22"/>
      <c r="B394" s="5"/>
      <c r="C394" s="5"/>
      <c r="D394" s="23"/>
      <c r="E394" s="5"/>
      <c r="F394" s="5"/>
      <c r="G394" s="31">
        <f>IF($B394="","",IFERROR(INDEX(Settings!$B$41:$B$55,MATCH($B394,Settings!$A$41:$A$55,0)),"Check category"))</f>
      </c>
    </row>
    <row r="395" spans="1:7" x14ac:dyDescent="0.25">
      <c r="A395" s="22"/>
      <c r="B395" s="5"/>
      <c r="C395" s="5"/>
      <c r="D395" s="23"/>
      <c r="E395" s="5"/>
      <c r="F395" s="5"/>
      <c r="G395" s="31">
        <f>IF($B395="","",IFERROR(INDEX(Settings!$B$41:$B$55,MATCH($B395,Settings!$A$41:$A$55,0)),"Check category"))</f>
      </c>
    </row>
    <row r="396" spans="1:7" x14ac:dyDescent="0.25">
      <c r="A396" s="22"/>
      <c r="B396" s="5"/>
      <c r="C396" s="5"/>
      <c r="D396" s="23"/>
      <c r="E396" s="5"/>
      <c r="F396" s="5"/>
      <c r="G396" s="31">
        <f>IF($B396="","",IFERROR(INDEX(Settings!$B$41:$B$55,MATCH($B396,Settings!$A$41:$A$55,0)),"Check category"))</f>
      </c>
    </row>
    <row r="397" spans="1:7" x14ac:dyDescent="0.25">
      <c r="A397" s="22"/>
      <c r="B397" s="5"/>
      <c r="C397" s="5"/>
      <c r="D397" s="23"/>
      <c r="E397" s="5"/>
      <c r="F397" s="5"/>
      <c r="G397" s="31">
        <f>IF($B397="","",IFERROR(INDEX(Settings!$B$41:$B$55,MATCH($B397,Settings!$A$41:$A$55,0)),"Check category"))</f>
      </c>
    </row>
    <row r="398" spans="1:7" x14ac:dyDescent="0.25">
      <c r="A398" s="22"/>
      <c r="B398" s="5"/>
      <c r="C398" s="5"/>
      <c r="D398" s="23"/>
      <c r="E398" s="5"/>
      <c r="F398" s="5"/>
      <c r="G398" s="31">
        <f>IF($B398="","",IFERROR(INDEX(Settings!$B$41:$B$55,MATCH($B398,Settings!$A$41:$A$55,0)),"Check category"))</f>
      </c>
    </row>
    <row r="399" spans="1:7" x14ac:dyDescent="0.25">
      <c r="A399" s="22"/>
      <c r="B399" s="5"/>
      <c r="C399" s="5"/>
      <c r="D399" s="23"/>
      <c r="E399" s="5"/>
      <c r="F399" s="5"/>
      <c r="G399" s="31">
        <f>IF($B399="","",IFERROR(INDEX(Settings!$B$41:$B$55,MATCH($B399,Settings!$A$41:$A$55,0)),"Check category"))</f>
      </c>
    </row>
    <row r="400" spans="1:7" x14ac:dyDescent="0.25">
      <c r="A400" s="22"/>
      <c r="B400" s="5"/>
      <c r="C400" s="5"/>
      <c r="D400" s="23"/>
      <c r="E400" s="5"/>
      <c r="F400" s="5"/>
      <c r="G400" s="31">
        <f>IF($B400="","",IFERROR(INDEX(Settings!$B$41:$B$55,MATCH($B400,Settings!$A$41:$A$55,0)),"Check category"))</f>
      </c>
    </row>
    <row r="401" spans="1:7" x14ac:dyDescent="0.25">
      <c r="A401" s="22"/>
      <c r="B401" s="5"/>
      <c r="C401" s="5"/>
      <c r="D401" s="23"/>
      <c r="E401" s="5"/>
      <c r="F401" s="5"/>
      <c r="G401" s="31">
        <f>IF($B401="","",IFERROR(INDEX(Settings!$B$41:$B$55,MATCH($B401,Settings!$A$41:$A$55,0)),"Check category"))</f>
      </c>
    </row>
    <row r="402" spans="1:7" x14ac:dyDescent="0.25">
      <c r="A402" s="22"/>
      <c r="B402" s="5"/>
      <c r="C402" s="5"/>
      <c r="D402" s="23"/>
      <c r="E402" s="5"/>
      <c r="F402" s="5"/>
      <c r="G402" s="31">
        <f>IF($B402="","",IFERROR(INDEX(Settings!$B$41:$B$55,MATCH($B402,Settings!$A$41:$A$55,0)),"Check category"))</f>
      </c>
    </row>
    <row r="403" spans="1:7" x14ac:dyDescent="0.25">
      <c r="A403" s="22"/>
      <c r="B403" s="5"/>
      <c r="C403" s="5"/>
      <c r="D403" s="23"/>
      <c r="E403" s="5"/>
      <c r="F403" s="5"/>
      <c r="G403" s="31">
        <f>IF($B403="","",IFERROR(INDEX(Settings!$B$41:$B$55,MATCH($B403,Settings!$A$41:$A$55,0)),"Check category"))</f>
      </c>
    </row>
    <row r="404" spans="1:7" x14ac:dyDescent="0.25">
      <c r="A404" s="22"/>
      <c r="B404" s="5"/>
      <c r="C404" s="5"/>
      <c r="D404" s="23"/>
      <c r="E404" s="5"/>
      <c r="F404" s="5"/>
      <c r="G404" s="31">
        <f>IF($B404="","",IFERROR(INDEX(Settings!$B$41:$B$55,MATCH($B404,Settings!$A$41:$A$55,0)),"Check category"))</f>
      </c>
    </row>
    <row r="405" spans="1:7" x14ac:dyDescent="0.25">
      <c r="A405" s="22"/>
      <c r="B405" s="5"/>
      <c r="C405" s="5"/>
      <c r="D405" s="23"/>
      <c r="E405" s="5"/>
      <c r="F405" s="5"/>
      <c r="G405" s="31">
        <f>IF($B405="","",IFERROR(INDEX(Settings!$B$41:$B$55,MATCH($B405,Settings!$A$41:$A$55,0)),"Check category"))</f>
      </c>
    </row>
    <row r="406" spans="1:7" x14ac:dyDescent="0.25">
      <c r="A406" s="22"/>
      <c r="B406" s="5"/>
      <c r="C406" s="5"/>
      <c r="D406" s="23"/>
      <c r="E406" s="5"/>
      <c r="F406" s="5"/>
      <c r="G406" s="31">
        <f>IF($B406="","",IFERROR(INDEX(Settings!$B$41:$B$55,MATCH($B406,Settings!$A$41:$A$55,0)),"Check category"))</f>
      </c>
    </row>
    <row r="407" spans="1:7" x14ac:dyDescent="0.25">
      <c r="A407" s="22"/>
      <c r="B407" s="5"/>
      <c r="C407" s="5"/>
      <c r="D407" s="23"/>
      <c r="E407" s="5"/>
      <c r="F407" s="5"/>
      <c r="G407" s="31">
        <f>IF($B407="","",IFERROR(INDEX(Settings!$B$41:$B$55,MATCH($B407,Settings!$A$41:$A$55,0)),"Check category"))</f>
      </c>
    </row>
    <row r="408" spans="1:7" x14ac:dyDescent="0.25">
      <c r="A408" s="22"/>
      <c r="B408" s="5"/>
      <c r="C408" s="5"/>
      <c r="D408" s="23"/>
      <c r="E408" s="5"/>
      <c r="F408" s="5"/>
      <c r="G408" s="31">
        <f>IF($B408="","",IFERROR(INDEX(Settings!$B$41:$B$55,MATCH($B408,Settings!$A$41:$A$55,0)),"Check category"))</f>
      </c>
    </row>
    <row r="409" spans="1:7" x14ac:dyDescent="0.25">
      <c r="A409" s="22"/>
      <c r="B409" s="5"/>
      <c r="C409" s="5"/>
      <c r="D409" s="23"/>
      <c r="E409" s="5"/>
      <c r="F409" s="5"/>
      <c r="G409" s="31">
        <f>IF($B409="","",IFERROR(INDEX(Settings!$B$41:$B$55,MATCH($B409,Settings!$A$41:$A$55,0)),"Check category"))</f>
      </c>
    </row>
    <row r="410" spans="1:7" x14ac:dyDescent="0.25">
      <c r="A410" s="22"/>
      <c r="B410" s="5"/>
      <c r="C410" s="5"/>
      <c r="D410" s="23"/>
      <c r="E410" s="5"/>
      <c r="F410" s="5"/>
      <c r="G410" s="31">
        <f>IF($B410="","",IFERROR(INDEX(Settings!$B$41:$B$55,MATCH($B410,Settings!$A$41:$A$55,0)),"Check category"))</f>
      </c>
    </row>
    <row r="411" spans="1:7" x14ac:dyDescent="0.25">
      <c r="A411" s="22"/>
      <c r="B411" s="5"/>
      <c r="C411" s="5"/>
      <c r="D411" s="23"/>
      <c r="E411" s="5"/>
      <c r="F411" s="5"/>
      <c r="G411" s="31">
        <f>IF($B411="","",IFERROR(INDEX(Settings!$B$41:$B$55,MATCH($B411,Settings!$A$41:$A$55,0)),"Check category"))</f>
      </c>
    </row>
    <row r="412" spans="1:7" x14ac:dyDescent="0.25">
      <c r="A412" s="22"/>
      <c r="B412" s="5"/>
      <c r="C412" s="5"/>
      <c r="D412" s="23"/>
      <c r="E412" s="5"/>
      <c r="F412" s="5"/>
      <c r="G412" s="31">
        <f>IF($B412="","",IFERROR(INDEX(Settings!$B$41:$B$55,MATCH($B412,Settings!$A$41:$A$55,0)),"Check category"))</f>
      </c>
    </row>
    <row r="413" spans="1:7" x14ac:dyDescent="0.25">
      <c r="A413" s="22"/>
      <c r="B413" s="5"/>
      <c r="C413" s="5"/>
      <c r="D413" s="23"/>
      <c r="E413" s="5"/>
      <c r="F413" s="5"/>
      <c r="G413" s="31">
        <f>IF($B413="","",IFERROR(INDEX(Settings!$B$41:$B$55,MATCH($B413,Settings!$A$41:$A$55,0)),"Check category"))</f>
      </c>
    </row>
    <row r="414" spans="1:7" x14ac:dyDescent="0.25">
      <c r="A414" s="22"/>
      <c r="B414" s="5"/>
      <c r="C414" s="5"/>
      <c r="D414" s="23"/>
      <c r="E414" s="5"/>
      <c r="F414" s="5"/>
      <c r="G414" s="31">
        <f>IF($B414="","",IFERROR(INDEX(Settings!$B$41:$B$55,MATCH($B414,Settings!$A$41:$A$55,0)),"Check category"))</f>
      </c>
    </row>
    <row r="415" spans="1:7" x14ac:dyDescent="0.25">
      <c r="A415" s="22"/>
      <c r="B415" s="5"/>
      <c r="C415" s="5"/>
      <c r="D415" s="23"/>
      <c r="E415" s="5"/>
      <c r="F415" s="5"/>
      <c r="G415" s="31">
        <f>IF($B415="","",IFERROR(INDEX(Settings!$B$41:$B$55,MATCH($B415,Settings!$A$41:$A$55,0)),"Check category"))</f>
      </c>
    </row>
    <row r="416" spans="1:7" x14ac:dyDescent="0.25">
      <c r="A416" s="22"/>
      <c r="B416" s="5"/>
      <c r="C416" s="5"/>
      <c r="D416" s="23"/>
      <c r="E416" s="5"/>
      <c r="F416" s="5"/>
      <c r="G416" s="31">
        <f>IF($B416="","",IFERROR(INDEX(Settings!$B$41:$B$55,MATCH($B416,Settings!$A$41:$A$55,0)),"Check category"))</f>
      </c>
    </row>
    <row r="417" spans="1:7" x14ac:dyDescent="0.25">
      <c r="A417" s="22"/>
      <c r="B417" s="5"/>
      <c r="C417" s="5"/>
      <c r="D417" s="23"/>
      <c r="E417" s="5"/>
      <c r="F417" s="5"/>
      <c r="G417" s="31">
        <f>IF($B417="","",IFERROR(INDEX(Settings!$B$41:$B$55,MATCH($B417,Settings!$A$41:$A$55,0)),"Check category"))</f>
      </c>
    </row>
    <row r="418" spans="1:7" x14ac:dyDescent="0.25">
      <c r="A418" s="22"/>
      <c r="B418" s="5"/>
      <c r="C418" s="5"/>
      <c r="D418" s="23"/>
      <c r="E418" s="5"/>
      <c r="F418" s="5"/>
      <c r="G418" s="31">
        <f>IF($B418="","",IFERROR(INDEX(Settings!$B$41:$B$55,MATCH($B418,Settings!$A$41:$A$55,0)),"Check category"))</f>
      </c>
    </row>
    <row r="419" spans="1:7" x14ac:dyDescent="0.25">
      <c r="A419" s="22"/>
      <c r="B419" s="5"/>
      <c r="C419" s="5"/>
      <c r="D419" s="23"/>
      <c r="E419" s="5"/>
      <c r="F419" s="5"/>
      <c r="G419" s="31">
        <f>IF($B419="","",IFERROR(INDEX(Settings!$B$41:$B$55,MATCH($B419,Settings!$A$41:$A$55,0)),"Check category"))</f>
      </c>
    </row>
    <row r="420" spans="1:7" x14ac:dyDescent="0.25">
      <c r="A420" s="22"/>
      <c r="B420" s="5"/>
      <c r="C420" s="5"/>
      <c r="D420" s="23"/>
      <c r="E420" s="5"/>
      <c r="F420" s="5"/>
      <c r="G420" s="31">
        <f>IF($B420="","",IFERROR(INDEX(Settings!$B$41:$B$55,MATCH($B420,Settings!$A$41:$A$55,0)),"Check category"))</f>
      </c>
    </row>
    <row r="421" spans="1:7" x14ac:dyDescent="0.25">
      <c r="A421" s="22"/>
      <c r="B421" s="5"/>
      <c r="C421" s="5"/>
      <c r="D421" s="23"/>
      <c r="E421" s="5"/>
      <c r="F421" s="5"/>
      <c r="G421" s="31">
        <f>IF($B421="","",IFERROR(INDEX(Settings!$B$41:$B$55,MATCH($B421,Settings!$A$41:$A$55,0)),"Check category"))</f>
      </c>
    </row>
    <row r="422" spans="1:7" x14ac:dyDescent="0.25">
      <c r="A422" s="22"/>
      <c r="B422" s="5"/>
      <c r="C422" s="5"/>
      <c r="D422" s="23"/>
      <c r="E422" s="5"/>
      <c r="F422" s="5"/>
      <c r="G422" s="31">
        <f>IF($B422="","",IFERROR(INDEX(Settings!$B$41:$B$55,MATCH($B422,Settings!$A$41:$A$55,0)),"Check category"))</f>
      </c>
    </row>
    <row r="423" spans="1:7" x14ac:dyDescent="0.25">
      <c r="A423" s="22"/>
      <c r="B423" s="5"/>
      <c r="C423" s="5"/>
      <c r="D423" s="23"/>
      <c r="E423" s="5"/>
      <c r="F423" s="5"/>
      <c r="G423" s="31">
        <f>IF($B423="","",IFERROR(INDEX(Settings!$B$41:$B$55,MATCH($B423,Settings!$A$41:$A$55,0)),"Check category"))</f>
      </c>
    </row>
    <row r="424" spans="1:7" x14ac:dyDescent="0.25">
      <c r="A424" s="22"/>
      <c r="B424" s="5"/>
      <c r="C424" s="5"/>
      <c r="D424" s="23"/>
      <c r="E424" s="5"/>
      <c r="F424" s="5"/>
      <c r="G424" s="31">
        <f>IF($B424="","",IFERROR(INDEX(Settings!$B$41:$B$55,MATCH($B424,Settings!$A$41:$A$55,0)),"Check category"))</f>
      </c>
    </row>
    <row r="425" spans="1:7" x14ac:dyDescent="0.25">
      <c r="A425" s="22"/>
      <c r="B425" s="5"/>
      <c r="C425" s="5"/>
      <c r="D425" s="23"/>
      <c r="E425" s="5"/>
      <c r="F425" s="5"/>
      <c r="G425" s="31">
        <f>IF($B425="","",IFERROR(INDEX(Settings!$B$41:$B$55,MATCH($B425,Settings!$A$41:$A$55,0)),"Check category"))</f>
      </c>
    </row>
    <row r="426" spans="1:7" x14ac:dyDescent="0.25">
      <c r="A426" s="22"/>
      <c r="B426" s="5"/>
      <c r="C426" s="5"/>
      <c r="D426" s="23"/>
      <c r="E426" s="5"/>
      <c r="F426" s="5"/>
      <c r="G426" s="31">
        <f>IF($B426="","",IFERROR(INDEX(Settings!$B$41:$B$55,MATCH($B426,Settings!$A$41:$A$55,0)),"Check category"))</f>
      </c>
    </row>
    <row r="427" spans="1:7" x14ac:dyDescent="0.25">
      <c r="A427" s="22"/>
      <c r="B427" s="5"/>
      <c r="C427" s="5"/>
      <c r="D427" s="23"/>
      <c r="E427" s="5"/>
      <c r="F427" s="5"/>
      <c r="G427" s="31">
        <f>IF($B427="","",IFERROR(INDEX(Settings!$B$41:$B$55,MATCH($B427,Settings!$A$41:$A$55,0)),"Check category"))</f>
      </c>
    </row>
    <row r="428" spans="1:7" x14ac:dyDescent="0.25">
      <c r="A428" s="22"/>
      <c r="B428" s="5"/>
      <c r="C428" s="5"/>
      <c r="D428" s="23"/>
      <c r="E428" s="5"/>
      <c r="F428" s="5"/>
      <c r="G428" s="31">
        <f>IF($B428="","",IFERROR(INDEX(Settings!$B$41:$B$55,MATCH($B428,Settings!$A$41:$A$55,0)),"Check category"))</f>
      </c>
    </row>
    <row r="429" spans="1:7" x14ac:dyDescent="0.25">
      <c r="A429" s="22"/>
      <c r="B429" s="5"/>
      <c r="C429" s="5"/>
      <c r="D429" s="23"/>
      <c r="E429" s="5"/>
      <c r="F429" s="5"/>
      <c r="G429" s="31">
        <f>IF($B429="","",IFERROR(INDEX(Settings!$B$41:$B$55,MATCH($B429,Settings!$A$41:$A$55,0)),"Check category"))</f>
      </c>
    </row>
    <row r="430" spans="1:7" x14ac:dyDescent="0.25">
      <c r="A430" s="22"/>
      <c r="B430" s="5"/>
      <c r="C430" s="5"/>
      <c r="D430" s="23"/>
      <c r="E430" s="5"/>
      <c r="F430" s="5"/>
      <c r="G430" s="31">
        <f>IF($B430="","",IFERROR(INDEX(Settings!$B$41:$B$55,MATCH($B430,Settings!$A$41:$A$55,0)),"Check category"))</f>
      </c>
    </row>
    <row r="431" spans="1:7" x14ac:dyDescent="0.25">
      <c r="A431" s="22"/>
      <c r="B431" s="5"/>
      <c r="C431" s="5"/>
      <c r="D431" s="23"/>
      <c r="E431" s="5"/>
      <c r="F431" s="5"/>
      <c r="G431" s="31">
        <f>IF($B431="","",IFERROR(INDEX(Settings!$B$41:$B$55,MATCH($B431,Settings!$A$41:$A$55,0)),"Check category"))</f>
      </c>
    </row>
    <row r="432" spans="1:7" x14ac:dyDescent="0.25">
      <c r="A432" s="22"/>
      <c r="B432" s="5"/>
      <c r="C432" s="5"/>
      <c r="D432" s="23"/>
      <c r="E432" s="5"/>
      <c r="F432" s="5"/>
      <c r="G432" s="31">
        <f>IF($B432="","",IFERROR(INDEX(Settings!$B$41:$B$55,MATCH($B432,Settings!$A$41:$A$55,0)),"Check category"))</f>
      </c>
    </row>
    <row r="433" spans="1:7" x14ac:dyDescent="0.25">
      <c r="A433" s="22"/>
      <c r="B433" s="5"/>
      <c r="C433" s="5"/>
      <c r="D433" s="23"/>
      <c r="E433" s="5"/>
      <c r="F433" s="5"/>
      <c r="G433" s="31">
        <f>IF($B433="","",IFERROR(INDEX(Settings!$B$41:$B$55,MATCH($B433,Settings!$A$41:$A$55,0)),"Check category"))</f>
      </c>
    </row>
    <row r="434" spans="1:7" x14ac:dyDescent="0.25">
      <c r="A434" s="22"/>
      <c r="B434" s="5"/>
      <c r="C434" s="5"/>
      <c r="D434" s="23"/>
      <c r="E434" s="5"/>
      <c r="F434" s="5"/>
      <c r="G434" s="31">
        <f>IF($B434="","",IFERROR(INDEX(Settings!$B$41:$B$55,MATCH($B434,Settings!$A$41:$A$55,0)),"Check category"))</f>
      </c>
    </row>
    <row r="435" spans="1:7" x14ac:dyDescent="0.25">
      <c r="A435" s="22"/>
      <c r="B435" s="5"/>
      <c r="C435" s="5"/>
      <c r="D435" s="23"/>
      <c r="E435" s="5"/>
      <c r="F435" s="5"/>
      <c r="G435" s="31">
        <f>IF($B435="","",IFERROR(INDEX(Settings!$B$41:$B$55,MATCH($B435,Settings!$A$41:$A$55,0)),"Check category"))</f>
      </c>
    </row>
    <row r="436" spans="1:7" x14ac:dyDescent="0.25">
      <c r="A436" s="22"/>
      <c r="B436" s="5"/>
      <c r="C436" s="5"/>
      <c r="D436" s="23"/>
      <c r="E436" s="5"/>
      <c r="F436" s="5"/>
      <c r="G436" s="31">
        <f>IF($B436="","",IFERROR(INDEX(Settings!$B$41:$B$55,MATCH($B436,Settings!$A$41:$A$55,0)),"Check category"))</f>
      </c>
    </row>
    <row r="437" spans="1:7" x14ac:dyDescent="0.25">
      <c r="A437" s="22"/>
      <c r="B437" s="5"/>
      <c r="C437" s="5"/>
      <c r="D437" s="23"/>
      <c r="E437" s="5"/>
      <c r="F437" s="5"/>
      <c r="G437" s="31">
        <f>IF($B437="","",IFERROR(INDEX(Settings!$B$41:$B$55,MATCH($B437,Settings!$A$41:$A$55,0)),"Check category"))</f>
      </c>
    </row>
    <row r="438" spans="1:7" x14ac:dyDescent="0.25">
      <c r="A438" s="22"/>
      <c r="B438" s="5"/>
      <c r="C438" s="5"/>
      <c r="D438" s="23"/>
      <c r="E438" s="5"/>
      <c r="F438" s="5"/>
      <c r="G438" s="31">
        <f>IF($B438="","",IFERROR(INDEX(Settings!$B$41:$B$55,MATCH($B438,Settings!$A$41:$A$55,0)),"Check category"))</f>
      </c>
    </row>
    <row r="439" spans="1:7" x14ac:dyDescent="0.25">
      <c r="A439" s="22"/>
      <c r="B439" s="5"/>
      <c r="C439" s="5"/>
      <c r="D439" s="23"/>
      <c r="E439" s="5"/>
      <c r="F439" s="5"/>
      <c r="G439" s="31">
        <f>IF($B439="","",IFERROR(INDEX(Settings!$B$41:$B$55,MATCH($B439,Settings!$A$41:$A$55,0)),"Check category"))</f>
      </c>
    </row>
    <row r="440" spans="1:7" x14ac:dyDescent="0.25">
      <c r="A440" s="22"/>
      <c r="B440" s="5"/>
      <c r="C440" s="5"/>
      <c r="D440" s="23"/>
      <c r="E440" s="5"/>
      <c r="F440" s="5"/>
      <c r="G440" s="31">
        <f>IF($B440="","",IFERROR(INDEX(Settings!$B$41:$B$55,MATCH($B440,Settings!$A$41:$A$55,0)),"Check category"))</f>
      </c>
    </row>
    <row r="441" spans="1:7" x14ac:dyDescent="0.25">
      <c r="A441" s="22"/>
      <c r="B441" s="5"/>
      <c r="C441" s="5"/>
      <c r="D441" s="23"/>
      <c r="E441" s="5"/>
      <c r="F441" s="5"/>
      <c r="G441" s="31">
        <f>IF($B441="","",IFERROR(INDEX(Settings!$B$41:$B$55,MATCH($B441,Settings!$A$41:$A$55,0)),"Check category"))</f>
      </c>
    </row>
    <row r="442" spans="1:7" x14ac:dyDescent="0.25">
      <c r="A442" s="22"/>
      <c r="B442" s="5"/>
      <c r="C442" s="5"/>
      <c r="D442" s="23"/>
      <c r="E442" s="5"/>
      <c r="F442" s="5"/>
      <c r="G442" s="31">
        <f>IF($B442="","",IFERROR(INDEX(Settings!$B$41:$B$55,MATCH($B442,Settings!$A$41:$A$55,0)),"Check category"))</f>
      </c>
    </row>
    <row r="443" spans="1:7" x14ac:dyDescent="0.25">
      <c r="A443" s="22"/>
      <c r="B443" s="5"/>
      <c r="C443" s="5"/>
      <c r="D443" s="23"/>
      <c r="E443" s="5"/>
      <c r="F443" s="5"/>
      <c r="G443" s="31">
        <f>IF($B443="","",IFERROR(INDEX(Settings!$B$41:$B$55,MATCH($B443,Settings!$A$41:$A$55,0)),"Check category"))</f>
      </c>
    </row>
    <row r="444" spans="1:7" x14ac:dyDescent="0.25">
      <c r="A444" s="22"/>
      <c r="B444" s="5"/>
      <c r="C444" s="5"/>
      <c r="D444" s="23"/>
      <c r="E444" s="5"/>
      <c r="F444" s="5"/>
      <c r="G444" s="31">
        <f>IF($B444="","",IFERROR(INDEX(Settings!$B$41:$B$55,MATCH($B444,Settings!$A$41:$A$55,0)),"Check category"))</f>
      </c>
    </row>
    <row r="445" spans="1:7" x14ac:dyDescent="0.25">
      <c r="A445" s="22"/>
      <c r="B445" s="5"/>
      <c r="C445" s="5"/>
      <c r="D445" s="23"/>
      <c r="E445" s="5"/>
      <c r="F445" s="5"/>
      <c r="G445" s="31">
        <f>IF($B445="","",IFERROR(INDEX(Settings!$B$41:$B$55,MATCH($B445,Settings!$A$41:$A$55,0)),"Check category"))</f>
      </c>
    </row>
    <row r="446" spans="1:7" x14ac:dyDescent="0.25">
      <c r="A446" s="22"/>
      <c r="B446" s="5"/>
      <c r="C446" s="5"/>
      <c r="D446" s="23"/>
      <c r="E446" s="5"/>
      <c r="F446" s="5"/>
      <c r="G446" s="31">
        <f>IF($B446="","",IFERROR(INDEX(Settings!$B$41:$B$55,MATCH($B446,Settings!$A$41:$A$55,0)),"Check category"))</f>
      </c>
    </row>
    <row r="447" spans="1:7" x14ac:dyDescent="0.25">
      <c r="A447" s="22"/>
      <c r="B447" s="5"/>
      <c r="C447" s="5"/>
      <c r="D447" s="23"/>
      <c r="E447" s="5"/>
      <c r="F447" s="5"/>
      <c r="G447" s="31">
        <f>IF($B447="","",IFERROR(INDEX(Settings!$B$41:$B$55,MATCH($B447,Settings!$A$41:$A$55,0)),"Check category"))</f>
      </c>
    </row>
    <row r="448" spans="1:7" x14ac:dyDescent="0.25">
      <c r="A448" s="22"/>
      <c r="B448" s="5"/>
      <c r="C448" s="5"/>
      <c r="D448" s="23"/>
      <c r="E448" s="5"/>
      <c r="F448" s="5"/>
      <c r="G448" s="31">
        <f>IF($B448="","",IFERROR(INDEX(Settings!$B$41:$B$55,MATCH($B448,Settings!$A$41:$A$55,0)),"Check category"))</f>
      </c>
    </row>
    <row r="449" spans="1:7" x14ac:dyDescent="0.25">
      <c r="A449" s="22"/>
      <c r="B449" s="5"/>
      <c r="C449" s="5"/>
      <c r="D449" s="23"/>
      <c r="E449" s="5"/>
      <c r="F449" s="5"/>
      <c r="G449" s="31">
        <f>IF($B449="","",IFERROR(INDEX(Settings!$B$41:$B$55,MATCH($B449,Settings!$A$41:$A$55,0)),"Check category"))</f>
      </c>
    </row>
    <row r="450" spans="1:7" x14ac:dyDescent="0.25">
      <c r="A450" s="22"/>
      <c r="B450" s="5"/>
      <c r="C450" s="5"/>
      <c r="D450" s="23"/>
      <c r="E450" s="5"/>
      <c r="F450" s="5"/>
      <c r="G450" s="31">
        <f>IF($B450="","",IFERROR(INDEX(Settings!$B$41:$B$55,MATCH($B450,Settings!$A$41:$A$55,0)),"Check category"))</f>
      </c>
    </row>
    <row r="451" spans="1:7" x14ac:dyDescent="0.25">
      <c r="A451" s="22"/>
      <c r="B451" s="5"/>
      <c r="C451" s="5"/>
      <c r="D451" s="23"/>
      <c r="E451" s="5"/>
      <c r="F451" s="5"/>
      <c r="G451" s="31">
        <f>IF($B451="","",IFERROR(INDEX(Settings!$B$41:$B$55,MATCH($B451,Settings!$A$41:$A$55,0)),"Check category"))</f>
      </c>
    </row>
    <row r="452" spans="1:7" x14ac:dyDescent="0.25">
      <c r="A452" s="22"/>
      <c r="B452" s="5"/>
      <c r="C452" s="5"/>
      <c r="D452" s="23"/>
      <c r="E452" s="5"/>
      <c r="F452" s="5"/>
      <c r="G452" s="31">
        <f>IF($B452="","",IFERROR(INDEX(Settings!$B$41:$B$55,MATCH($B452,Settings!$A$41:$A$55,0)),"Check category"))</f>
      </c>
    </row>
    <row r="453" spans="1:7" x14ac:dyDescent="0.25">
      <c r="A453" s="22"/>
      <c r="B453" s="5"/>
      <c r="C453" s="5"/>
      <c r="D453" s="23"/>
      <c r="E453" s="5"/>
      <c r="F453" s="5"/>
      <c r="G453" s="31">
        <f>IF($B453="","",IFERROR(INDEX(Settings!$B$41:$B$55,MATCH($B453,Settings!$A$41:$A$55,0)),"Check category"))</f>
      </c>
    </row>
    <row r="454" spans="1:7" x14ac:dyDescent="0.25">
      <c r="A454" s="22"/>
      <c r="B454" s="5"/>
      <c r="C454" s="5"/>
      <c r="D454" s="23"/>
      <c r="E454" s="5"/>
      <c r="F454" s="5"/>
      <c r="G454" s="31">
        <f>IF($B454="","",IFERROR(INDEX(Settings!$B$41:$B$55,MATCH($B454,Settings!$A$41:$A$55,0)),"Check category"))</f>
      </c>
    </row>
    <row r="455" spans="1:7" x14ac:dyDescent="0.25">
      <c r="A455" s="22"/>
      <c r="B455" s="5"/>
      <c r="C455" s="5"/>
      <c r="D455" s="23"/>
      <c r="E455" s="5"/>
      <c r="F455" s="5"/>
      <c r="G455" s="31">
        <f>IF($B455="","",IFERROR(INDEX(Settings!$B$41:$B$55,MATCH($B455,Settings!$A$41:$A$55,0)),"Check category"))</f>
      </c>
    </row>
    <row r="456" spans="1:7" x14ac:dyDescent="0.25">
      <c r="A456" s="22"/>
      <c r="B456" s="5"/>
      <c r="C456" s="5"/>
      <c r="D456" s="23"/>
      <c r="E456" s="5"/>
      <c r="F456" s="5"/>
      <c r="G456" s="31">
        <f>IF($B456="","",IFERROR(INDEX(Settings!$B$41:$B$55,MATCH($B456,Settings!$A$41:$A$55,0)),"Check category"))</f>
      </c>
    </row>
    <row r="457" spans="1:7" x14ac:dyDescent="0.25">
      <c r="A457" s="22"/>
      <c r="B457" s="5"/>
      <c r="C457" s="5"/>
      <c r="D457" s="23"/>
      <c r="E457" s="5"/>
      <c r="F457" s="5"/>
      <c r="G457" s="31">
        <f>IF($B457="","",IFERROR(INDEX(Settings!$B$41:$B$55,MATCH($B457,Settings!$A$41:$A$55,0)),"Check category"))</f>
      </c>
    </row>
    <row r="458" spans="1:7" x14ac:dyDescent="0.25">
      <c r="A458" s="22"/>
      <c r="B458" s="5"/>
      <c r="C458" s="5"/>
      <c r="D458" s="23"/>
      <c r="E458" s="5"/>
      <c r="F458" s="5"/>
      <c r="G458" s="31">
        <f>IF($B458="","",IFERROR(INDEX(Settings!$B$41:$B$55,MATCH($B458,Settings!$A$41:$A$55,0)),"Check category"))</f>
      </c>
    </row>
    <row r="459" spans="1:7" x14ac:dyDescent="0.25">
      <c r="A459" s="22"/>
      <c r="B459" s="5"/>
      <c r="C459" s="5"/>
      <c r="D459" s="23"/>
      <c r="E459" s="5"/>
      <c r="F459" s="5"/>
      <c r="G459" s="31">
        <f>IF($B459="","",IFERROR(INDEX(Settings!$B$41:$B$55,MATCH($B459,Settings!$A$41:$A$55,0)),"Check category"))</f>
      </c>
    </row>
    <row r="460" spans="1:7" x14ac:dyDescent="0.25">
      <c r="A460" s="22"/>
      <c r="B460" s="5"/>
      <c r="C460" s="5"/>
      <c r="D460" s="23"/>
      <c r="E460" s="5"/>
      <c r="F460" s="5"/>
      <c r="G460" s="31">
        <f>IF($B460="","",IFERROR(INDEX(Settings!$B$41:$B$55,MATCH($B460,Settings!$A$41:$A$55,0)),"Check category"))</f>
      </c>
    </row>
    <row r="461" spans="1:7" x14ac:dyDescent="0.25">
      <c r="A461" s="22"/>
      <c r="B461" s="5"/>
      <c r="C461" s="5"/>
      <c r="D461" s="23"/>
      <c r="E461" s="5"/>
      <c r="F461" s="5"/>
      <c r="G461" s="31">
        <f>IF($B461="","",IFERROR(INDEX(Settings!$B$41:$B$55,MATCH($B461,Settings!$A$41:$A$55,0)),"Check category"))</f>
      </c>
    </row>
    <row r="462" spans="1:7" x14ac:dyDescent="0.25">
      <c r="A462" s="22"/>
      <c r="B462" s="5"/>
      <c r="C462" s="5"/>
      <c r="D462" s="23"/>
      <c r="E462" s="5"/>
      <c r="F462" s="5"/>
      <c r="G462" s="31">
        <f>IF($B462="","",IFERROR(INDEX(Settings!$B$41:$B$55,MATCH($B462,Settings!$A$41:$A$55,0)),"Check category"))</f>
      </c>
    </row>
    <row r="463" spans="1:7" x14ac:dyDescent="0.25">
      <c r="A463" s="22"/>
      <c r="B463" s="5"/>
      <c r="C463" s="5"/>
      <c r="D463" s="23"/>
      <c r="E463" s="5"/>
      <c r="F463" s="5"/>
      <c r="G463" s="31">
        <f>IF($B463="","",IFERROR(INDEX(Settings!$B$41:$B$55,MATCH($B463,Settings!$A$41:$A$55,0)),"Check category"))</f>
      </c>
    </row>
    <row r="464" spans="1:7" x14ac:dyDescent="0.25">
      <c r="A464" s="22"/>
      <c r="B464" s="5"/>
      <c r="C464" s="5"/>
      <c r="D464" s="23"/>
      <c r="E464" s="5"/>
      <c r="F464" s="5"/>
      <c r="G464" s="31">
        <f>IF($B464="","",IFERROR(INDEX(Settings!$B$41:$B$55,MATCH($B464,Settings!$A$41:$A$55,0)),"Check category"))</f>
      </c>
    </row>
    <row r="465" spans="1:7" x14ac:dyDescent="0.25">
      <c r="A465" s="22"/>
      <c r="B465" s="5"/>
      <c r="C465" s="5"/>
      <c r="D465" s="23"/>
      <c r="E465" s="5"/>
      <c r="F465" s="5"/>
      <c r="G465" s="31">
        <f>IF($B465="","",IFERROR(INDEX(Settings!$B$41:$B$55,MATCH($B465,Settings!$A$41:$A$55,0)),"Check category"))</f>
      </c>
    </row>
    <row r="466" spans="1:7" x14ac:dyDescent="0.25">
      <c r="A466" s="22"/>
      <c r="B466" s="5"/>
      <c r="C466" s="5"/>
      <c r="D466" s="23"/>
      <c r="E466" s="5"/>
      <c r="F466" s="5"/>
      <c r="G466" s="31">
        <f>IF($B466="","",IFERROR(INDEX(Settings!$B$41:$B$55,MATCH($B466,Settings!$A$41:$A$55,0)),"Check category"))</f>
      </c>
    </row>
    <row r="467" spans="1:7" x14ac:dyDescent="0.25">
      <c r="A467" s="22"/>
      <c r="B467" s="5"/>
      <c r="C467" s="5"/>
      <c r="D467" s="23"/>
      <c r="E467" s="5"/>
      <c r="F467" s="5"/>
      <c r="G467" s="31">
        <f>IF($B467="","",IFERROR(INDEX(Settings!$B$41:$B$55,MATCH($B467,Settings!$A$41:$A$55,0)),"Check category"))</f>
      </c>
    </row>
    <row r="468" spans="1:7" x14ac:dyDescent="0.25">
      <c r="A468" s="22"/>
      <c r="B468" s="5"/>
      <c r="C468" s="5"/>
      <c r="D468" s="23"/>
      <c r="E468" s="5"/>
      <c r="F468" s="5"/>
      <c r="G468" s="31">
        <f>IF($B468="","",IFERROR(INDEX(Settings!$B$41:$B$55,MATCH($B468,Settings!$A$41:$A$55,0)),"Check category"))</f>
      </c>
    </row>
    <row r="469" spans="1:7" x14ac:dyDescent="0.25">
      <c r="A469" s="22"/>
      <c r="B469" s="5"/>
      <c r="C469" s="5"/>
      <c r="D469" s="23"/>
      <c r="E469" s="5"/>
      <c r="F469" s="5"/>
      <c r="G469" s="31">
        <f>IF($B469="","",IFERROR(INDEX(Settings!$B$41:$B$55,MATCH($B469,Settings!$A$41:$A$55,0)),"Check category"))</f>
      </c>
    </row>
    <row r="470" spans="1:7" x14ac:dyDescent="0.25">
      <c r="A470" s="22"/>
      <c r="B470" s="5"/>
      <c r="C470" s="5"/>
      <c r="D470" s="23"/>
      <c r="E470" s="5"/>
      <c r="F470" s="5"/>
      <c r="G470" s="31">
        <f>IF($B470="","",IFERROR(INDEX(Settings!$B$41:$B$55,MATCH($B470,Settings!$A$41:$A$55,0)),"Check category"))</f>
      </c>
    </row>
    <row r="471" spans="1:7" x14ac:dyDescent="0.25">
      <c r="A471" s="22"/>
      <c r="B471" s="5"/>
      <c r="C471" s="5"/>
      <c r="D471" s="23"/>
      <c r="E471" s="5"/>
      <c r="F471" s="5"/>
      <c r="G471" s="31">
        <f>IF($B471="","",IFERROR(INDEX(Settings!$B$41:$B$55,MATCH($B471,Settings!$A$41:$A$55,0)),"Check category"))</f>
      </c>
    </row>
    <row r="472" spans="1:7" x14ac:dyDescent="0.25">
      <c r="A472" s="22"/>
      <c r="B472" s="5"/>
      <c r="C472" s="5"/>
      <c r="D472" s="23"/>
      <c r="E472" s="5"/>
      <c r="F472" s="5"/>
      <c r="G472" s="31">
        <f>IF($B472="","",IFERROR(INDEX(Settings!$B$41:$B$55,MATCH($B472,Settings!$A$41:$A$55,0)),"Check category"))</f>
      </c>
    </row>
    <row r="473" spans="1:7" x14ac:dyDescent="0.25">
      <c r="A473" s="22"/>
      <c r="B473" s="5"/>
      <c r="C473" s="5"/>
      <c r="D473" s="23"/>
      <c r="E473" s="5"/>
      <c r="F473" s="5"/>
      <c r="G473" s="31">
        <f>IF($B473="","",IFERROR(INDEX(Settings!$B$41:$B$55,MATCH($B473,Settings!$A$41:$A$55,0)),"Check category"))</f>
      </c>
    </row>
    <row r="474" spans="1:7" x14ac:dyDescent="0.25">
      <c r="A474" s="22"/>
      <c r="B474" s="5"/>
      <c r="C474" s="5"/>
      <c r="D474" s="23"/>
      <c r="E474" s="5"/>
      <c r="F474" s="5"/>
      <c r="G474" s="31">
        <f>IF($B474="","",IFERROR(INDEX(Settings!$B$41:$B$55,MATCH($B474,Settings!$A$41:$A$55,0)),"Check category"))</f>
      </c>
    </row>
    <row r="475" spans="1:7" x14ac:dyDescent="0.25">
      <c r="A475" s="22"/>
      <c r="B475" s="5"/>
      <c r="C475" s="5"/>
      <c r="D475" s="23"/>
      <c r="E475" s="5"/>
      <c r="F475" s="5"/>
      <c r="G475" s="31">
        <f>IF($B475="","",IFERROR(INDEX(Settings!$B$41:$B$55,MATCH($B475,Settings!$A$41:$A$55,0)),"Check category"))</f>
      </c>
    </row>
    <row r="476" spans="1:7" x14ac:dyDescent="0.25">
      <c r="A476" s="22"/>
      <c r="B476" s="5"/>
      <c r="C476" s="5"/>
      <c r="D476" s="23"/>
      <c r="E476" s="5"/>
      <c r="F476" s="5"/>
      <c r="G476" s="31">
        <f>IF($B476="","",IFERROR(INDEX(Settings!$B$41:$B$55,MATCH($B476,Settings!$A$41:$A$55,0)),"Check category"))</f>
      </c>
    </row>
    <row r="477" spans="1:7" x14ac:dyDescent="0.25">
      <c r="A477" s="22"/>
      <c r="B477" s="5"/>
      <c r="C477" s="5"/>
      <c r="D477" s="23"/>
      <c r="E477" s="5"/>
      <c r="F477" s="5"/>
      <c r="G477" s="31">
        <f>IF($B477="","",IFERROR(INDEX(Settings!$B$41:$B$55,MATCH($B477,Settings!$A$41:$A$55,0)),"Check category"))</f>
      </c>
    </row>
    <row r="478" spans="1:7" x14ac:dyDescent="0.25">
      <c r="A478" s="22"/>
      <c r="B478" s="5"/>
      <c r="C478" s="5"/>
      <c r="D478" s="23"/>
      <c r="E478" s="5"/>
      <c r="F478" s="5"/>
      <c r="G478" s="31">
        <f>IF($B478="","",IFERROR(INDEX(Settings!$B$41:$B$55,MATCH($B478,Settings!$A$41:$A$55,0)),"Check category"))</f>
      </c>
    </row>
    <row r="479" spans="1:7" x14ac:dyDescent="0.25">
      <c r="A479" s="22"/>
      <c r="B479" s="5"/>
      <c r="C479" s="5"/>
      <c r="D479" s="23"/>
      <c r="E479" s="5"/>
      <c r="F479" s="5"/>
      <c r="G479" s="31">
        <f>IF($B479="","",IFERROR(INDEX(Settings!$B$41:$B$55,MATCH($B479,Settings!$A$41:$A$55,0)),"Check category"))</f>
      </c>
    </row>
    <row r="480" spans="1:7" x14ac:dyDescent="0.25">
      <c r="A480" s="22"/>
      <c r="B480" s="5"/>
      <c r="C480" s="5"/>
      <c r="D480" s="23"/>
      <c r="E480" s="5"/>
      <c r="F480" s="5"/>
      <c r="G480" s="31">
        <f>IF($B480="","",IFERROR(INDEX(Settings!$B$41:$B$55,MATCH($B480,Settings!$A$41:$A$55,0)),"Check category"))</f>
      </c>
    </row>
    <row r="481" spans="1:7" x14ac:dyDescent="0.25">
      <c r="A481" s="22"/>
      <c r="B481" s="5"/>
      <c r="C481" s="5"/>
      <c r="D481" s="23"/>
      <c r="E481" s="5"/>
      <c r="F481" s="5"/>
      <c r="G481" s="31">
        <f>IF($B481="","",IFERROR(INDEX(Settings!$B$41:$B$55,MATCH($B481,Settings!$A$41:$A$55,0)),"Check category"))</f>
      </c>
    </row>
    <row r="482" spans="1:7" x14ac:dyDescent="0.25">
      <c r="A482" s="22"/>
      <c r="B482" s="5"/>
      <c r="C482" s="5"/>
      <c r="D482" s="23"/>
      <c r="E482" s="5"/>
      <c r="F482" s="5"/>
      <c r="G482" s="31">
        <f>IF($B482="","",IFERROR(INDEX(Settings!$B$41:$B$55,MATCH($B482,Settings!$A$41:$A$55,0)),"Check category"))</f>
      </c>
    </row>
    <row r="483" spans="1:7" x14ac:dyDescent="0.25">
      <c r="A483" s="22"/>
      <c r="B483" s="5"/>
      <c r="C483" s="5"/>
      <c r="D483" s="23"/>
      <c r="E483" s="5"/>
      <c r="F483" s="5"/>
      <c r="G483" s="31">
        <f>IF($B483="","",IFERROR(INDEX(Settings!$B$41:$B$55,MATCH($B483,Settings!$A$41:$A$55,0)),"Check category"))</f>
      </c>
    </row>
    <row r="484" spans="1:7" x14ac:dyDescent="0.25">
      <c r="A484" s="22"/>
      <c r="B484" s="5"/>
      <c r="C484" s="5"/>
      <c r="D484" s="23"/>
      <c r="E484" s="5"/>
      <c r="F484" s="5"/>
      <c r="G484" s="31">
        <f>IF($B484="","",IFERROR(INDEX(Settings!$B$41:$B$55,MATCH($B484,Settings!$A$41:$A$55,0)),"Check category"))</f>
      </c>
    </row>
    <row r="485" spans="1:7" x14ac:dyDescent="0.25">
      <c r="A485" s="22"/>
      <c r="B485" s="5"/>
      <c r="C485" s="5"/>
      <c r="D485" s="23"/>
      <c r="E485" s="5"/>
      <c r="F485" s="5"/>
      <c r="G485" s="31">
        <f>IF($B485="","",IFERROR(INDEX(Settings!$B$41:$B$55,MATCH($B485,Settings!$A$41:$A$55,0)),"Check category"))</f>
      </c>
    </row>
    <row r="486" spans="1:7" x14ac:dyDescent="0.25">
      <c r="A486" s="22"/>
      <c r="B486" s="5"/>
      <c r="C486" s="5"/>
      <c r="D486" s="23"/>
      <c r="E486" s="5"/>
      <c r="F486" s="5"/>
      <c r="G486" s="31">
        <f>IF($B486="","",IFERROR(INDEX(Settings!$B$41:$B$55,MATCH($B486,Settings!$A$41:$A$55,0)),"Check category"))</f>
      </c>
    </row>
    <row r="487" spans="1:7" x14ac:dyDescent="0.25">
      <c r="A487" s="22"/>
      <c r="B487" s="5"/>
      <c r="C487" s="5"/>
      <c r="D487" s="23"/>
      <c r="E487" s="5"/>
      <c r="F487" s="5"/>
      <c r="G487" s="31">
        <f>IF($B487="","",IFERROR(INDEX(Settings!$B$41:$B$55,MATCH($B487,Settings!$A$41:$A$55,0)),"Check category"))</f>
      </c>
    </row>
    <row r="488" spans="1:7" x14ac:dyDescent="0.25">
      <c r="A488" s="22"/>
      <c r="B488" s="5"/>
      <c r="C488" s="5"/>
      <c r="D488" s="23"/>
      <c r="E488" s="5"/>
      <c r="F488" s="5"/>
      <c r="G488" s="31">
        <f>IF($B488="","",IFERROR(INDEX(Settings!$B$41:$B$55,MATCH($B488,Settings!$A$41:$A$55,0)),"Check category"))</f>
      </c>
    </row>
    <row r="489" spans="1:7" x14ac:dyDescent="0.25">
      <c r="A489" s="22"/>
      <c r="B489" s="5"/>
      <c r="C489" s="5"/>
      <c r="D489" s="23"/>
      <c r="E489" s="5"/>
      <c r="F489" s="5"/>
      <c r="G489" s="31">
        <f>IF($B489="","",IFERROR(INDEX(Settings!$B$41:$B$55,MATCH($B489,Settings!$A$41:$A$55,0)),"Check category"))</f>
      </c>
    </row>
    <row r="490" spans="1:7" x14ac:dyDescent="0.25">
      <c r="A490" s="22"/>
      <c r="B490" s="5"/>
      <c r="C490" s="5"/>
      <c r="D490" s="23"/>
      <c r="E490" s="5"/>
      <c r="F490" s="5"/>
      <c r="G490" s="31">
        <f>IF($B490="","",IFERROR(INDEX(Settings!$B$41:$B$55,MATCH($B490,Settings!$A$41:$A$55,0)),"Check category"))</f>
      </c>
    </row>
    <row r="491" spans="1:7" x14ac:dyDescent="0.25">
      <c r="A491" s="22"/>
      <c r="B491" s="5"/>
      <c r="C491" s="5"/>
      <c r="D491" s="23"/>
      <c r="E491" s="5"/>
      <c r="F491" s="5"/>
      <c r="G491" s="31">
        <f>IF($B491="","",IFERROR(INDEX(Settings!$B$41:$B$55,MATCH($B491,Settings!$A$41:$A$55,0)),"Check category"))</f>
      </c>
    </row>
    <row r="492" spans="1:7" x14ac:dyDescent="0.25">
      <c r="A492" s="22"/>
      <c r="B492" s="5"/>
      <c r="C492" s="5"/>
      <c r="D492" s="23"/>
      <c r="E492" s="5"/>
      <c r="F492" s="5"/>
      <c r="G492" s="31">
        <f>IF($B492="","",IFERROR(INDEX(Settings!$B$41:$B$55,MATCH($B492,Settings!$A$41:$A$55,0)),"Check category"))</f>
      </c>
    </row>
    <row r="493" spans="1:7" x14ac:dyDescent="0.25">
      <c r="A493" s="22"/>
      <c r="B493" s="5"/>
      <c r="C493" s="5"/>
      <c r="D493" s="23"/>
      <c r="E493" s="5"/>
      <c r="F493" s="5"/>
      <c r="G493" s="31">
        <f>IF($B493="","",IFERROR(INDEX(Settings!$B$41:$B$55,MATCH($B493,Settings!$A$41:$A$55,0)),"Check category"))</f>
      </c>
    </row>
    <row r="494" spans="1:7" x14ac:dyDescent="0.25">
      <c r="A494" s="22"/>
      <c r="B494" s="5"/>
      <c r="C494" s="5"/>
      <c r="D494" s="23"/>
      <c r="E494" s="5"/>
      <c r="F494" s="5"/>
      <c r="G494" s="31">
        <f>IF($B494="","",IFERROR(INDEX(Settings!$B$41:$B$55,MATCH($B494,Settings!$A$41:$A$55,0)),"Check category"))</f>
      </c>
    </row>
    <row r="495" spans="1:7" x14ac:dyDescent="0.25">
      <c r="A495" s="22"/>
      <c r="B495" s="5"/>
      <c r="C495" s="5"/>
      <c r="D495" s="23"/>
      <c r="E495" s="5"/>
      <c r="F495" s="5"/>
      <c r="G495" s="31">
        <f>IF($B495="","",IFERROR(INDEX(Settings!$B$41:$B$55,MATCH($B495,Settings!$A$41:$A$55,0)),"Check category"))</f>
      </c>
    </row>
    <row r="496" spans="1:7" x14ac:dyDescent="0.25">
      <c r="A496" s="22"/>
      <c r="B496" s="5"/>
      <c r="C496" s="5"/>
      <c r="D496" s="23"/>
      <c r="E496" s="5"/>
      <c r="F496" s="5"/>
      <c r="G496" s="31">
        <f>IF($B496="","",IFERROR(INDEX(Settings!$B$41:$B$55,MATCH($B496,Settings!$A$41:$A$55,0)),"Check category"))</f>
      </c>
    </row>
    <row r="497" spans="1:7" x14ac:dyDescent="0.25">
      <c r="A497" s="22"/>
      <c r="B497" s="5"/>
      <c r="C497" s="5"/>
      <c r="D497" s="23"/>
      <c r="E497" s="5"/>
      <c r="F497" s="5"/>
      <c r="G497" s="31">
        <f>IF($B497="","",IFERROR(INDEX(Settings!$B$41:$B$55,MATCH($B497,Settings!$A$41:$A$55,0)),"Check category"))</f>
      </c>
    </row>
    <row r="498" spans="1:7" x14ac:dyDescent="0.25">
      <c r="A498" s="22"/>
      <c r="B498" s="5"/>
      <c r="C498" s="5"/>
      <c r="D498" s="23"/>
      <c r="E498" s="5"/>
      <c r="F498" s="5"/>
      <c r="G498" s="31">
        <f>IF($B498="","",IFERROR(INDEX(Settings!$B$41:$B$55,MATCH($B498,Settings!$A$41:$A$55,0)),"Check category"))</f>
      </c>
    </row>
    <row r="499" spans="1:7" x14ac:dyDescent="0.25">
      <c r="A499" s="22"/>
      <c r="B499" s="5"/>
      <c r="C499" s="5"/>
      <c r="D499" s="23"/>
      <c r="E499" s="5"/>
      <c r="F499" s="5"/>
      <c r="G499" s="31">
        <f>IF($B499="","",IFERROR(INDEX(Settings!$B$41:$B$55,MATCH($B499,Settings!$A$41:$A$55,0)),"Check category"))</f>
      </c>
    </row>
    <row r="500" spans="1:7" x14ac:dyDescent="0.25">
      <c r="A500" s="22"/>
      <c r="B500" s="5"/>
      <c r="C500" s="5"/>
      <c r="D500" s="23"/>
      <c r="E500" s="5"/>
      <c r="F500" s="5"/>
      <c r="G500" s="31">
        <f>IF($B500="","",IFERROR(INDEX(Settings!$B$41:$B$55,MATCH($B500,Settings!$A$41:$A$55,0)),"Check category"))</f>
      </c>
    </row>
    <row r="501" spans="1:7" x14ac:dyDescent="0.25">
      <c r="A501" s="22"/>
      <c r="B501" s="5"/>
      <c r="C501" s="5"/>
      <c r="D501" s="23"/>
      <c r="E501" s="5"/>
      <c r="F501" s="5"/>
      <c r="G501" s="31">
        <f>IF($B501="","",IFERROR(INDEX(Settings!$B$41:$B$55,MATCH($B501,Settings!$A$41:$A$55,0)),"Check category"))</f>
      </c>
    </row>
    <row r="502" spans="1:7" x14ac:dyDescent="0.25">
      <c r="A502" s="22"/>
      <c r="B502" s="5"/>
      <c r="C502" s="5"/>
      <c r="D502" s="23"/>
      <c r="E502" s="5"/>
      <c r="F502" s="5"/>
      <c r="G502" s="31">
        <f>IF($B502="","",IFERROR(INDEX(Settings!$B$41:$B$55,MATCH($B502,Settings!$A$41:$A$55,0)),"Check category"))</f>
      </c>
    </row>
    <row r="503" spans="1:7" x14ac:dyDescent="0.25">
      <c r="A503" s="22"/>
      <c r="B503" s="5"/>
      <c r="C503" s="5"/>
      <c r="D503" s="23"/>
      <c r="E503" s="5"/>
      <c r="F503" s="5"/>
      <c r="G503" s="31">
        <f>IF($B503="","",IFERROR(INDEX(Settings!$B$41:$B$55,MATCH($B503,Settings!$A$41:$A$55,0)),"Check category"))</f>
      </c>
    </row>
    <row r="504" spans="1:7" x14ac:dyDescent="0.25">
      <c r="A504" s="22"/>
      <c r="B504" s="5"/>
      <c r="C504" s="5"/>
      <c r="D504" s="23"/>
      <c r="E504" s="5"/>
      <c r="F504" s="5"/>
      <c r="G504" s="31">
        <f>IF($B504="","",IFERROR(INDEX(Settings!$B$41:$B$55,MATCH($B504,Settings!$A$41:$A$55,0)),"Check category"))</f>
      </c>
    </row>
    <row r="505" spans="1:7" x14ac:dyDescent="0.25">
      <c r="A505" s="22"/>
      <c r="B505" s="5"/>
      <c r="C505" s="5"/>
      <c r="D505" s="23"/>
      <c r="E505" s="5"/>
      <c r="F505" s="5"/>
      <c r="G505" s="31">
        <f>IF($B505="","",IFERROR(INDEX(Settings!$B$41:$B$55,MATCH($B505,Settings!$A$41:$A$55,0)),"Check category"))</f>
      </c>
    </row>
    <row r="506" spans="1:7" x14ac:dyDescent="0.25">
      <c r="A506" s="22"/>
      <c r="B506" s="5"/>
      <c r="C506" s="5"/>
      <c r="D506" s="23"/>
      <c r="E506" s="5"/>
      <c r="F506" s="5"/>
      <c r="G506" s="31">
        <f>IF($B506="","",IFERROR(INDEX(Settings!$B$41:$B$55,MATCH($B506,Settings!$A$41:$A$55,0)),"Check category"))</f>
      </c>
    </row>
    <row r="507" spans="1:7" x14ac:dyDescent="0.25">
      <c r="A507" s="22"/>
      <c r="B507" s="5"/>
      <c r="C507" s="5"/>
      <c r="D507" s="23"/>
      <c r="E507" s="5"/>
      <c r="F507" s="5"/>
      <c r="G507" s="31">
        <f>IF($B507="","",IFERROR(INDEX(Settings!$B$41:$B$55,MATCH($B507,Settings!$A$41:$A$55,0)),"Check category"))</f>
      </c>
    </row>
    <row r="508" spans="1:7" x14ac:dyDescent="0.25">
      <c r="A508" s="22"/>
      <c r="B508" s="5"/>
      <c r="C508" s="5"/>
      <c r="D508" s="23"/>
      <c r="E508" s="5"/>
      <c r="F508" s="5"/>
      <c r="G508" s="31">
        <f>IF($B508="","",IFERROR(INDEX(Settings!$B$41:$B$55,MATCH($B508,Settings!$A$41:$A$55,0)),"Check category"))</f>
      </c>
    </row>
    <row r="509" spans="1:7" x14ac:dyDescent="0.25">
      <c r="A509" s="22"/>
      <c r="B509" s="5"/>
      <c r="C509" s="5"/>
      <c r="D509" s="23"/>
      <c r="E509" s="5"/>
      <c r="F509" s="5"/>
      <c r="G509" s="31">
        <f>IF($B509="","",IFERROR(INDEX(Settings!$B$41:$B$55,MATCH($B509,Settings!$A$41:$A$55,0)),"Check category"))</f>
      </c>
    </row>
    <row r="510" spans="1:7" x14ac:dyDescent="0.25">
      <c r="A510" s="22"/>
      <c r="B510" s="5"/>
      <c r="C510" s="5"/>
      <c r="D510" s="23"/>
      <c r="E510" s="5"/>
      <c r="F510" s="5"/>
      <c r="G510" s="31">
        <f>IF($B510="","",IFERROR(INDEX(Settings!$B$41:$B$55,MATCH($B510,Settings!$A$41:$A$55,0)),"Check category"))</f>
      </c>
    </row>
    <row r="511" spans="1:7" x14ac:dyDescent="0.25">
      <c r="A511" s="22"/>
      <c r="B511" s="5"/>
      <c r="C511" s="5"/>
      <c r="D511" s="23"/>
      <c r="E511" s="5"/>
      <c r="F511" s="5"/>
      <c r="G511" s="31">
        <f>IF($B511="","",IFERROR(INDEX(Settings!$B$41:$B$55,MATCH($B511,Settings!$A$41:$A$55,0)),"Check category"))</f>
      </c>
    </row>
    <row r="512" spans="1:7" x14ac:dyDescent="0.25">
      <c r="A512" s="22"/>
      <c r="B512" s="5"/>
      <c r="C512" s="5"/>
      <c r="D512" s="23"/>
      <c r="E512" s="5"/>
      <c r="F512" s="5"/>
      <c r="G512" s="31">
        <f>IF($B512="","",IFERROR(INDEX(Settings!$B$41:$B$55,MATCH($B512,Settings!$A$41:$A$55,0)),"Check category"))</f>
      </c>
    </row>
    <row r="513" spans="1:7" x14ac:dyDescent="0.25">
      <c r="A513" s="22"/>
      <c r="B513" s="5"/>
      <c r="C513" s="5"/>
      <c r="D513" s="23"/>
      <c r="E513" s="5"/>
      <c r="F513" s="5"/>
      <c r="G513" s="31">
        <f>IF($B513="","",IFERROR(INDEX(Settings!$B$41:$B$55,MATCH($B513,Settings!$A$41:$A$55,0)),"Check category"))</f>
      </c>
    </row>
    <row r="514" spans="1:7" x14ac:dyDescent="0.25">
      <c r="A514" s="22"/>
      <c r="B514" s="5"/>
      <c r="C514" s="5"/>
      <c r="D514" s="23"/>
      <c r="E514" s="5"/>
      <c r="F514" s="5"/>
      <c r="G514" s="31">
        <f>IF($B514="","",IFERROR(INDEX(Settings!$B$41:$B$55,MATCH($B514,Settings!$A$41:$A$55,0)),"Check category"))</f>
      </c>
    </row>
    <row r="515" spans="1:7" x14ac:dyDescent="0.25">
      <c r="A515" s="22"/>
      <c r="B515" s="5"/>
      <c r="C515" s="5"/>
      <c r="D515" s="23"/>
      <c r="E515" s="5"/>
      <c r="F515" s="5"/>
      <c r="G515" s="31">
        <f>IF($B515="","",IFERROR(INDEX(Settings!$B$41:$B$55,MATCH($B515,Settings!$A$41:$A$55,0)),"Check category"))</f>
      </c>
    </row>
    <row r="516" spans="1:7" x14ac:dyDescent="0.25">
      <c r="A516" s="22"/>
      <c r="B516" s="5"/>
      <c r="C516" s="5"/>
      <c r="D516" s="23"/>
      <c r="E516" s="5"/>
      <c r="F516" s="5"/>
      <c r="G516" s="31">
        <f>IF($B516="","",IFERROR(INDEX(Settings!$B$41:$B$55,MATCH($B516,Settings!$A$41:$A$55,0)),"Check category"))</f>
      </c>
    </row>
    <row r="517" spans="1:7" x14ac:dyDescent="0.25">
      <c r="A517" s="22"/>
      <c r="B517" s="5"/>
      <c r="C517" s="5"/>
      <c r="D517" s="23"/>
      <c r="E517" s="5"/>
      <c r="F517" s="5"/>
      <c r="G517" s="31">
        <f>IF($B517="","",IFERROR(INDEX(Settings!$B$41:$B$55,MATCH($B517,Settings!$A$41:$A$55,0)),"Check category"))</f>
      </c>
    </row>
    <row r="518" spans="1:7" x14ac:dyDescent="0.25">
      <c r="A518" s="22"/>
      <c r="B518" s="5"/>
      <c r="C518" s="5"/>
      <c r="D518" s="23"/>
      <c r="E518" s="5"/>
      <c r="F518" s="5"/>
      <c r="G518" s="31">
        <f>IF($B518="","",IFERROR(INDEX(Settings!$B$41:$B$55,MATCH($B518,Settings!$A$41:$A$55,0)),"Check category"))</f>
      </c>
    </row>
    <row r="519" spans="1:7" x14ac:dyDescent="0.25">
      <c r="A519" s="22"/>
      <c r="B519" s="5"/>
      <c r="C519" s="5"/>
      <c r="D519" s="23"/>
      <c r="E519" s="5"/>
      <c r="F519" s="5"/>
      <c r="G519" s="31">
        <f>IF($B519="","",IFERROR(INDEX(Settings!$B$41:$B$55,MATCH($B519,Settings!$A$41:$A$55,0)),"Check category"))</f>
      </c>
    </row>
    <row r="520" spans="1:7" x14ac:dyDescent="0.25">
      <c r="A520" s="22"/>
      <c r="B520" s="5"/>
      <c r="C520" s="5"/>
      <c r="D520" s="23"/>
      <c r="E520" s="5"/>
      <c r="F520" s="5"/>
      <c r="G520" s="31">
        <f>IF($B520="","",IFERROR(INDEX(Settings!$B$41:$B$55,MATCH($B520,Settings!$A$41:$A$55,0)),"Check category"))</f>
      </c>
    </row>
    <row r="521" spans="1:7" x14ac:dyDescent="0.25">
      <c r="A521" s="22"/>
      <c r="B521" s="5"/>
      <c r="C521" s="5"/>
      <c r="D521" s="23"/>
      <c r="E521" s="5"/>
      <c r="F521" s="5"/>
      <c r="G521" s="31">
        <f>IF($B521="","",IFERROR(INDEX(Settings!$B$41:$B$55,MATCH($B521,Settings!$A$41:$A$55,0)),"Check category"))</f>
      </c>
    </row>
    <row r="522" spans="1:7" x14ac:dyDescent="0.25">
      <c r="A522" s="22"/>
      <c r="B522" s="5"/>
      <c r="C522" s="5"/>
      <c r="D522" s="23"/>
      <c r="E522" s="5"/>
      <c r="F522" s="5"/>
      <c r="G522" s="31">
        <f>IF($B522="","",IFERROR(INDEX(Settings!$B$41:$B$55,MATCH($B522,Settings!$A$41:$A$55,0)),"Check category"))</f>
      </c>
    </row>
    <row r="523" spans="1:7" x14ac:dyDescent="0.25">
      <c r="A523" s="22"/>
      <c r="B523" s="5"/>
      <c r="C523" s="5"/>
      <c r="D523" s="23"/>
      <c r="E523" s="5"/>
      <c r="F523" s="5"/>
      <c r="G523" s="31">
        <f>IF($B523="","",IFERROR(INDEX(Settings!$B$41:$B$55,MATCH($B523,Settings!$A$41:$A$55,0)),"Check category"))</f>
      </c>
    </row>
    <row r="524" spans="1:7" x14ac:dyDescent="0.25">
      <c r="A524" s="22"/>
      <c r="B524" s="5"/>
      <c r="C524" s="5"/>
      <c r="D524" s="23"/>
      <c r="E524" s="5"/>
      <c r="F524" s="5"/>
      <c r="G524" s="31">
        <f>IF($B524="","",IFERROR(INDEX(Settings!$B$41:$B$55,MATCH($B524,Settings!$A$41:$A$55,0)),"Check category"))</f>
      </c>
    </row>
    <row r="525" spans="1:7" x14ac:dyDescent="0.25">
      <c r="A525" s="22"/>
      <c r="B525" s="5"/>
      <c r="C525" s="5"/>
      <c r="D525" s="23"/>
      <c r="E525" s="5"/>
      <c r="F525" s="5"/>
      <c r="G525" s="31">
        <f>IF($B525="","",IFERROR(INDEX(Settings!$B$41:$B$55,MATCH($B525,Settings!$A$41:$A$55,0)),"Check category"))</f>
      </c>
    </row>
    <row r="526" spans="1:7" x14ac:dyDescent="0.25">
      <c r="A526" s="22"/>
      <c r="B526" s="5"/>
      <c r="C526" s="5"/>
      <c r="D526" s="23"/>
      <c r="E526" s="5"/>
      <c r="F526" s="5"/>
      <c r="G526" s="31">
        <f>IF($B526="","",IFERROR(INDEX(Settings!$B$41:$B$55,MATCH($B526,Settings!$A$41:$A$55,0)),"Check category"))</f>
      </c>
    </row>
    <row r="527" spans="1:7" x14ac:dyDescent="0.25">
      <c r="A527" s="22"/>
      <c r="B527" s="5"/>
      <c r="C527" s="5"/>
      <c r="D527" s="23"/>
      <c r="E527" s="5"/>
      <c r="F527" s="5"/>
      <c r="G527" s="31">
        <f>IF($B527="","",IFERROR(INDEX(Settings!$B$41:$B$55,MATCH($B527,Settings!$A$41:$A$55,0)),"Check category"))</f>
      </c>
    </row>
    <row r="528" spans="1:7" x14ac:dyDescent="0.25">
      <c r="A528" s="22"/>
      <c r="B528" s="5"/>
      <c r="C528" s="5"/>
      <c r="D528" s="23"/>
      <c r="E528" s="5"/>
      <c r="F528" s="5"/>
      <c r="G528" s="31">
        <f>IF($B528="","",IFERROR(INDEX(Settings!$B$41:$B$55,MATCH($B528,Settings!$A$41:$A$55,0)),"Check category"))</f>
      </c>
    </row>
    <row r="529" spans="1:7" x14ac:dyDescent="0.25">
      <c r="A529" s="22"/>
      <c r="B529" s="5"/>
      <c r="C529" s="5"/>
      <c r="D529" s="23"/>
      <c r="E529" s="5"/>
      <c r="F529" s="5"/>
      <c r="G529" s="31">
        <f>IF($B529="","",IFERROR(INDEX(Settings!$B$41:$B$55,MATCH($B529,Settings!$A$41:$A$55,0)),"Check category"))</f>
      </c>
    </row>
    <row r="530" spans="1:7" x14ac:dyDescent="0.25">
      <c r="A530" s="22"/>
      <c r="B530" s="5"/>
      <c r="C530" s="5"/>
      <c r="D530" s="23"/>
      <c r="E530" s="5"/>
      <c r="F530" s="5"/>
      <c r="G530" s="31">
        <f>IF($B530="","",IFERROR(INDEX(Settings!$B$41:$B$55,MATCH($B530,Settings!$A$41:$A$55,0)),"Check category"))</f>
      </c>
    </row>
    <row r="531" spans="1:7" x14ac:dyDescent="0.25">
      <c r="A531" s="22"/>
      <c r="B531" s="5"/>
      <c r="C531" s="5"/>
      <c r="D531" s="23"/>
      <c r="E531" s="5"/>
      <c r="F531" s="5"/>
      <c r="G531" s="31">
        <f>IF($B531="","",IFERROR(INDEX(Settings!$B$41:$B$55,MATCH($B531,Settings!$A$41:$A$55,0)),"Check category"))</f>
      </c>
    </row>
    <row r="532" spans="1:7" x14ac:dyDescent="0.25">
      <c r="A532" s="22"/>
      <c r="B532" s="5"/>
      <c r="C532" s="5"/>
      <c r="D532" s="23"/>
      <c r="E532" s="5"/>
      <c r="F532" s="5"/>
      <c r="G532" s="31">
        <f>IF($B532="","",IFERROR(INDEX(Settings!$B$41:$B$55,MATCH($B532,Settings!$A$41:$A$55,0)),"Check category"))</f>
      </c>
    </row>
    <row r="533" spans="1:7" x14ac:dyDescent="0.25">
      <c r="A533" s="22"/>
      <c r="B533" s="5"/>
      <c r="C533" s="5"/>
      <c r="D533" s="23"/>
      <c r="E533" s="5"/>
      <c r="F533" s="5"/>
      <c r="G533" s="31">
        <f>IF($B533="","",IFERROR(INDEX(Settings!$B$41:$B$55,MATCH($B533,Settings!$A$41:$A$55,0)),"Check category"))</f>
      </c>
    </row>
    <row r="534" spans="1:7" x14ac:dyDescent="0.25">
      <c r="A534" s="22"/>
      <c r="B534" s="5"/>
      <c r="C534" s="5"/>
      <c r="D534" s="23"/>
      <c r="E534" s="5"/>
      <c r="F534" s="5"/>
      <c r="G534" s="31">
        <f>IF($B534="","",IFERROR(INDEX(Settings!$B$41:$B$55,MATCH($B534,Settings!$A$41:$A$55,0)),"Check category"))</f>
      </c>
    </row>
    <row r="535" spans="1:7" x14ac:dyDescent="0.25">
      <c r="A535" s="22"/>
      <c r="B535" s="5"/>
      <c r="C535" s="5"/>
      <c r="D535" s="23"/>
      <c r="E535" s="5"/>
      <c r="F535" s="5"/>
      <c r="G535" s="31">
        <f>IF($B535="","",IFERROR(INDEX(Settings!$B$41:$B$55,MATCH($B535,Settings!$A$41:$A$55,0)),"Check category"))</f>
      </c>
    </row>
    <row r="536" spans="1:7" x14ac:dyDescent="0.25">
      <c r="A536" s="22"/>
      <c r="B536" s="5"/>
      <c r="C536" s="5"/>
      <c r="D536" s="23"/>
      <c r="E536" s="5"/>
      <c r="F536" s="5"/>
      <c r="G536" s="31">
        <f>IF($B536="","",IFERROR(INDEX(Settings!$B$41:$B$55,MATCH($B536,Settings!$A$41:$A$55,0)),"Check category"))</f>
      </c>
    </row>
    <row r="537" spans="1:7" x14ac:dyDescent="0.25">
      <c r="A537" s="22"/>
      <c r="B537" s="5"/>
      <c r="C537" s="5"/>
      <c r="D537" s="23"/>
      <c r="E537" s="5"/>
      <c r="F537" s="5"/>
      <c r="G537" s="31">
        <f>IF($B537="","",IFERROR(INDEX(Settings!$B$41:$B$55,MATCH($B537,Settings!$A$41:$A$55,0)),"Check category"))</f>
      </c>
    </row>
    <row r="538" spans="1:7" x14ac:dyDescent="0.25">
      <c r="A538" s="22"/>
      <c r="B538" s="5"/>
      <c r="C538" s="5"/>
      <c r="D538" s="23"/>
      <c r="E538" s="5"/>
      <c r="F538" s="5"/>
      <c r="G538" s="31">
        <f>IF($B538="","",IFERROR(INDEX(Settings!$B$41:$B$55,MATCH($B538,Settings!$A$41:$A$55,0)),"Check category"))</f>
      </c>
    </row>
    <row r="539" spans="1:7" x14ac:dyDescent="0.25">
      <c r="A539" s="22"/>
      <c r="B539" s="5"/>
      <c r="C539" s="5"/>
      <c r="D539" s="23"/>
      <c r="E539" s="5"/>
      <c r="F539" s="5"/>
      <c r="G539" s="31">
        <f>IF($B539="","",IFERROR(INDEX(Settings!$B$41:$B$55,MATCH($B539,Settings!$A$41:$A$55,0)),"Check category"))</f>
      </c>
    </row>
    <row r="540" spans="1:7" x14ac:dyDescent="0.25">
      <c r="A540" s="22"/>
      <c r="B540" s="5"/>
      <c r="C540" s="5"/>
      <c r="D540" s="23"/>
      <c r="E540" s="5"/>
      <c r="F540" s="5"/>
      <c r="G540" s="31">
        <f>IF($B540="","",IFERROR(INDEX(Settings!$B$41:$B$55,MATCH($B540,Settings!$A$41:$A$55,0)),"Check category"))</f>
      </c>
    </row>
    <row r="541" spans="1:7" x14ac:dyDescent="0.25">
      <c r="A541" s="22"/>
      <c r="B541" s="5"/>
      <c r="C541" s="5"/>
      <c r="D541" s="23"/>
      <c r="E541" s="5"/>
      <c r="F541" s="5"/>
      <c r="G541" s="31">
        <f>IF($B541="","",IFERROR(INDEX(Settings!$B$41:$B$55,MATCH($B541,Settings!$A$41:$A$55,0)),"Check category"))</f>
      </c>
    </row>
    <row r="542" spans="1:7" x14ac:dyDescent="0.25">
      <c r="A542" s="22"/>
      <c r="B542" s="5"/>
      <c r="C542" s="5"/>
      <c r="D542" s="23"/>
      <c r="E542" s="5"/>
      <c r="F542" s="5"/>
      <c r="G542" s="31">
        <f>IF($B542="","",IFERROR(INDEX(Settings!$B$41:$B$55,MATCH($B542,Settings!$A$41:$A$55,0)),"Check category"))</f>
      </c>
    </row>
    <row r="543" spans="1:7" x14ac:dyDescent="0.25">
      <c r="A543" s="22"/>
      <c r="B543" s="5"/>
      <c r="C543" s="5"/>
      <c r="D543" s="23"/>
      <c r="E543" s="5"/>
      <c r="F543" s="5"/>
      <c r="G543" s="31">
        <f>IF($B543="","",IFERROR(INDEX(Settings!$B$41:$B$55,MATCH($B543,Settings!$A$41:$A$55,0)),"Check category"))</f>
      </c>
    </row>
    <row r="544" spans="1:7" x14ac:dyDescent="0.25">
      <c r="A544" s="22"/>
      <c r="B544" s="5"/>
      <c r="C544" s="5"/>
      <c r="D544" s="23"/>
      <c r="E544" s="5"/>
      <c r="F544" s="5"/>
      <c r="G544" s="31">
        <f>IF($B544="","",IFERROR(INDEX(Settings!$B$41:$B$55,MATCH($B544,Settings!$A$41:$A$55,0)),"Check category"))</f>
      </c>
    </row>
    <row r="545" spans="1:7" x14ac:dyDescent="0.25">
      <c r="A545" s="22"/>
      <c r="B545" s="5"/>
      <c r="C545" s="5"/>
      <c r="D545" s="23"/>
      <c r="E545" s="5"/>
      <c r="F545" s="5"/>
      <c r="G545" s="31">
        <f>IF($B545="","",IFERROR(INDEX(Settings!$B$41:$B$55,MATCH($B545,Settings!$A$41:$A$55,0)),"Check category"))</f>
      </c>
    </row>
    <row r="546" spans="1:7" x14ac:dyDescent="0.25">
      <c r="A546" s="22"/>
      <c r="B546" s="5"/>
      <c r="C546" s="5"/>
      <c r="D546" s="23"/>
      <c r="E546" s="5"/>
      <c r="F546" s="5"/>
      <c r="G546" s="31">
        <f>IF($B546="","",IFERROR(INDEX(Settings!$B$41:$B$55,MATCH($B546,Settings!$A$41:$A$55,0)),"Check category"))</f>
      </c>
    </row>
    <row r="547" spans="1:7" x14ac:dyDescent="0.25">
      <c r="A547" s="22"/>
      <c r="B547" s="5"/>
      <c r="C547" s="5"/>
      <c r="D547" s="23"/>
      <c r="E547" s="5"/>
      <c r="F547" s="5"/>
      <c r="G547" s="31">
        <f>IF($B547="","",IFERROR(INDEX(Settings!$B$41:$B$55,MATCH($B547,Settings!$A$41:$A$55,0)),"Check category"))</f>
      </c>
    </row>
    <row r="548" spans="1:7" x14ac:dyDescent="0.25">
      <c r="A548" s="22"/>
      <c r="B548" s="5"/>
      <c r="C548" s="5"/>
      <c r="D548" s="23"/>
      <c r="E548" s="5"/>
      <c r="F548" s="5"/>
      <c r="G548" s="31">
        <f>IF($B548="","",IFERROR(INDEX(Settings!$B$41:$B$55,MATCH($B548,Settings!$A$41:$A$55,0)),"Check category"))</f>
      </c>
    </row>
    <row r="549" spans="1:7" x14ac:dyDescent="0.25">
      <c r="A549" s="22"/>
      <c r="B549" s="5"/>
      <c r="C549" s="5"/>
      <c r="D549" s="23"/>
      <c r="E549" s="5"/>
      <c r="F549" s="5"/>
      <c r="G549" s="31">
        <f>IF($B549="","",IFERROR(INDEX(Settings!$B$41:$B$55,MATCH($B549,Settings!$A$41:$A$55,0)),"Check category"))</f>
      </c>
    </row>
    <row r="550" spans="1:7" x14ac:dyDescent="0.25">
      <c r="A550" s="22"/>
      <c r="B550" s="5"/>
      <c r="C550" s="5"/>
      <c r="D550" s="23"/>
      <c r="E550" s="5"/>
      <c r="F550" s="5"/>
      <c r="G550" s="31">
        <f>IF($B550="","",IFERROR(INDEX(Settings!$B$41:$B$55,MATCH($B550,Settings!$A$41:$A$55,0)),"Check category"))</f>
      </c>
    </row>
    <row r="551" spans="1:7" x14ac:dyDescent="0.25">
      <c r="A551" s="22"/>
      <c r="B551" s="5"/>
      <c r="C551" s="5"/>
      <c r="D551" s="23"/>
      <c r="E551" s="5"/>
      <c r="F551" s="5"/>
      <c r="G551" s="31">
        <f>IF($B551="","",IFERROR(INDEX(Settings!$B$41:$B$55,MATCH($B551,Settings!$A$41:$A$55,0)),"Check category"))</f>
      </c>
    </row>
    <row r="552" spans="1:7" x14ac:dyDescent="0.25">
      <c r="A552" s="22"/>
      <c r="B552" s="5"/>
      <c r="C552" s="5"/>
      <c r="D552" s="23"/>
      <c r="E552" s="5"/>
      <c r="F552" s="5"/>
      <c r="G552" s="31">
        <f>IF($B552="","",IFERROR(INDEX(Settings!$B$41:$B$55,MATCH($B552,Settings!$A$41:$A$55,0)),"Check category"))</f>
      </c>
    </row>
    <row r="553" spans="1:7" x14ac:dyDescent="0.25">
      <c r="A553" s="22"/>
      <c r="B553" s="5"/>
      <c r="C553" s="5"/>
      <c r="D553" s="23"/>
      <c r="E553" s="5"/>
      <c r="F553" s="5"/>
      <c r="G553" s="31">
        <f>IF($B553="","",IFERROR(INDEX(Settings!$B$41:$B$55,MATCH($B553,Settings!$A$41:$A$55,0)),"Check category"))</f>
      </c>
    </row>
    <row r="554" spans="1:7" x14ac:dyDescent="0.25">
      <c r="A554" s="22"/>
      <c r="B554" s="5"/>
      <c r="C554" s="5"/>
      <c r="D554" s="23"/>
      <c r="E554" s="5"/>
      <c r="F554" s="5"/>
      <c r="G554" s="31">
        <f>IF($B554="","",IFERROR(INDEX(Settings!$B$41:$B$55,MATCH($B554,Settings!$A$41:$A$55,0)),"Check category"))</f>
      </c>
    </row>
    <row r="555" spans="1:7" x14ac:dyDescent="0.25">
      <c r="A555" s="22"/>
      <c r="B555" s="5"/>
      <c r="C555" s="5"/>
      <c r="D555" s="23"/>
      <c r="E555" s="5"/>
      <c r="F555" s="5"/>
      <c r="G555" s="31">
        <f>IF($B555="","",IFERROR(INDEX(Settings!$B$41:$B$55,MATCH($B555,Settings!$A$41:$A$55,0)),"Check category"))</f>
      </c>
    </row>
    <row r="556" spans="1:7" x14ac:dyDescent="0.25">
      <c r="A556" s="22"/>
      <c r="B556" s="5"/>
      <c r="C556" s="5"/>
      <c r="D556" s="23"/>
      <c r="E556" s="5"/>
      <c r="F556" s="5"/>
      <c r="G556" s="31">
        <f>IF($B556="","",IFERROR(INDEX(Settings!$B$41:$B$55,MATCH($B556,Settings!$A$41:$A$55,0)),"Check category"))</f>
      </c>
    </row>
    <row r="557" spans="1:7" x14ac:dyDescent="0.25">
      <c r="A557" s="22"/>
      <c r="B557" s="5"/>
      <c r="C557" s="5"/>
      <c r="D557" s="23"/>
      <c r="E557" s="5"/>
      <c r="F557" s="5"/>
      <c r="G557" s="31">
        <f>IF($B557="","",IFERROR(INDEX(Settings!$B$41:$B$55,MATCH($B557,Settings!$A$41:$A$55,0)),"Check category"))</f>
      </c>
    </row>
    <row r="558" spans="1:7" x14ac:dyDescent="0.25">
      <c r="A558" s="22"/>
      <c r="B558" s="5"/>
      <c r="C558" s="5"/>
      <c r="D558" s="23"/>
      <c r="E558" s="5"/>
      <c r="F558" s="5"/>
      <c r="G558" s="31">
        <f>IF($B558="","",IFERROR(INDEX(Settings!$B$41:$B$55,MATCH($B558,Settings!$A$41:$A$55,0)),"Check category"))</f>
      </c>
    </row>
    <row r="559" spans="1:7" x14ac:dyDescent="0.25">
      <c r="A559" s="22"/>
      <c r="B559" s="5"/>
      <c r="C559" s="5"/>
      <c r="D559" s="23"/>
      <c r="E559" s="5"/>
      <c r="F559" s="5"/>
      <c r="G559" s="31">
        <f>IF($B559="","",IFERROR(INDEX(Settings!$B$41:$B$55,MATCH($B559,Settings!$A$41:$A$55,0)),"Check category"))</f>
      </c>
    </row>
    <row r="560" spans="1:7" x14ac:dyDescent="0.25">
      <c r="A560" s="22"/>
      <c r="B560" s="5"/>
      <c r="C560" s="5"/>
      <c r="D560" s="23"/>
      <c r="E560" s="5"/>
      <c r="F560" s="5"/>
      <c r="G560" s="31">
        <f>IF($B560="","",IFERROR(INDEX(Settings!$B$41:$B$55,MATCH($B560,Settings!$A$41:$A$55,0)),"Check category"))</f>
      </c>
    </row>
    <row r="561" spans="1:7" x14ac:dyDescent="0.25">
      <c r="A561" s="22"/>
      <c r="B561" s="5"/>
      <c r="C561" s="5"/>
      <c r="D561" s="23"/>
      <c r="E561" s="5"/>
      <c r="F561" s="5"/>
      <c r="G561" s="31">
        <f>IF($B561="","",IFERROR(INDEX(Settings!$B$41:$B$55,MATCH($B561,Settings!$A$41:$A$55,0)),"Check category"))</f>
      </c>
    </row>
    <row r="562" spans="1:7" x14ac:dyDescent="0.25">
      <c r="A562" s="22"/>
      <c r="B562" s="5"/>
      <c r="C562" s="5"/>
      <c r="D562" s="23"/>
      <c r="E562" s="5"/>
      <c r="F562" s="5"/>
      <c r="G562" s="31">
        <f>IF($B562="","",IFERROR(INDEX(Settings!$B$41:$B$55,MATCH($B562,Settings!$A$41:$A$55,0)),"Check category"))</f>
      </c>
    </row>
    <row r="563" spans="1:7" x14ac:dyDescent="0.25">
      <c r="A563" s="22"/>
      <c r="B563" s="5"/>
      <c r="C563" s="5"/>
      <c r="D563" s="23"/>
      <c r="E563" s="5"/>
      <c r="F563" s="5"/>
      <c r="G563" s="31">
        <f>IF($B563="","",IFERROR(INDEX(Settings!$B$41:$B$55,MATCH($B563,Settings!$A$41:$A$55,0)),"Check category"))</f>
      </c>
    </row>
    <row r="564" spans="1:7" x14ac:dyDescent="0.25">
      <c r="A564" s="22"/>
      <c r="B564" s="5"/>
      <c r="C564" s="5"/>
      <c r="D564" s="23"/>
      <c r="E564" s="5"/>
      <c r="F564" s="5"/>
      <c r="G564" s="31">
        <f>IF($B564="","",IFERROR(INDEX(Settings!$B$41:$B$55,MATCH($B564,Settings!$A$41:$A$55,0)),"Check category"))</f>
      </c>
    </row>
    <row r="565" spans="1:7" x14ac:dyDescent="0.25">
      <c r="A565" s="22"/>
      <c r="B565" s="5"/>
      <c r="C565" s="5"/>
      <c r="D565" s="23"/>
      <c r="E565" s="5"/>
      <c r="F565" s="5"/>
      <c r="G565" s="31">
        <f>IF($B565="","",IFERROR(INDEX(Settings!$B$41:$B$55,MATCH($B565,Settings!$A$41:$A$55,0)),"Check category"))</f>
      </c>
    </row>
    <row r="566" spans="1:7" x14ac:dyDescent="0.25">
      <c r="A566" s="22"/>
      <c r="B566" s="5"/>
      <c r="C566" s="5"/>
      <c r="D566" s="23"/>
      <c r="E566" s="5"/>
      <c r="F566" s="5"/>
      <c r="G566" s="31">
        <f>IF($B566="","",IFERROR(INDEX(Settings!$B$41:$B$55,MATCH($B566,Settings!$A$41:$A$55,0)),"Check category"))</f>
      </c>
    </row>
    <row r="567" spans="1:7" x14ac:dyDescent="0.25">
      <c r="A567" s="22"/>
      <c r="B567" s="5"/>
      <c r="C567" s="5"/>
      <c r="D567" s="23"/>
      <c r="E567" s="5"/>
      <c r="F567" s="5"/>
      <c r="G567" s="31">
        <f>IF($B567="","",IFERROR(INDEX(Settings!$B$41:$B$55,MATCH($B567,Settings!$A$41:$A$55,0)),"Check category"))</f>
      </c>
    </row>
    <row r="568" spans="1:7" x14ac:dyDescent="0.25">
      <c r="A568" s="22"/>
      <c r="B568" s="5"/>
      <c r="C568" s="5"/>
      <c r="D568" s="23"/>
      <c r="E568" s="5"/>
      <c r="F568" s="5"/>
      <c r="G568" s="31">
        <f>IF($B568="","",IFERROR(INDEX(Settings!$B$41:$B$55,MATCH($B568,Settings!$A$41:$A$55,0)),"Check category"))</f>
      </c>
    </row>
    <row r="569" spans="1:7" x14ac:dyDescent="0.25">
      <c r="A569" s="22"/>
      <c r="B569" s="5"/>
      <c r="C569" s="5"/>
      <c r="D569" s="23"/>
      <c r="E569" s="5"/>
      <c r="F569" s="5"/>
      <c r="G569" s="31">
        <f>IF($B569="","",IFERROR(INDEX(Settings!$B$41:$B$55,MATCH($B569,Settings!$A$41:$A$55,0)),"Check category"))</f>
      </c>
    </row>
    <row r="570" spans="1:7" x14ac:dyDescent="0.25">
      <c r="A570" s="22"/>
      <c r="B570" s="5"/>
      <c r="C570" s="5"/>
      <c r="D570" s="23"/>
      <c r="E570" s="5"/>
      <c r="F570" s="5"/>
      <c r="G570" s="31">
        <f>IF($B570="","",IFERROR(INDEX(Settings!$B$41:$B$55,MATCH($B570,Settings!$A$41:$A$55,0)),"Check category"))</f>
      </c>
    </row>
    <row r="571" spans="1:7" x14ac:dyDescent="0.25">
      <c r="A571" s="22"/>
      <c r="B571" s="5"/>
      <c r="C571" s="5"/>
      <c r="D571" s="23"/>
      <c r="E571" s="5"/>
      <c r="F571" s="5"/>
      <c r="G571" s="31">
        <f>IF($B571="","",IFERROR(INDEX(Settings!$B$41:$B$55,MATCH($B571,Settings!$A$41:$A$55,0)),"Check category"))</f>
      </c>
    </row>
    <row r="572" spans="1:7" x14ac:dyDescent="0.25">
      <c r="A572" s="22"/>
      <c r="B572" s="5"/>
      <c r="C572" s="5"/>
      <c r="D572" s="23"/>
      <c r="E572" s="5"/>
      <c r="F572" s="5"/>
      <c r="G572" s="31">
        <f>IF($B572="","",IFERROR(INDEX(Settings!$B$41:$B$55,MATCH($B572,Settings!$A$41:$A$55,0)),"Check category"))</f>
      </c>
    </row>
    <row r="573" spans="1:7" x14ac:dyDescent="0.25">
      <c r="A573" s="22"/>
      <c r="B573" s="5"/>
      <c r="C573" s="5"/>
      <c r="D573" s="23"/>
      <c r="E573" s="5"/>
      <c r="F573" s="5"/>
      <c r="G573" s="31">
        <f>IF($B573="","",IFERROR(INDEX(Settings!$B$41:$B$55,MATCH($B573,Settings!$A$41:$A$55,0)),"Check category"))</f>
      </c>
    </row>
    <row r="574" spans="1:7" x14ac:dyDescent="0.25">
      <c r="A574" s="22"/>
      <c r="B574" s="5"/>
      <c r="C574" s="5"/>
      <c r="D574" s="23"/>
      <c r="E574" s="5"/>
      <c r="F574" s="5"/>
      <c r="G574" s="31">
        <f>IF($B574="","",IFERROR(INDEX(Settings!$B$41:$B$55,MATCH($B574,Settings!$A$41:$A$55,0)),"Check category"))</f>
      </c>
    </row>
    <row r="575" spans="1:7" x14ac:dyDescent="0.25">
      <c r="A575" s="22"/>
      <c r="B575" s="5"/>
      <c r="C575" s="5"/>
      <c r="D575" s="23"/>
      <c r="E575" s="5"/>
      <c r="F575" s="5"/>
      <c r="G575" s="31">
        <f>IF($B575="","",IFERROR(INDEX(Settings!$B$41:$B$55,MATCH($B575,Settings!$A$41:$A$55,0)),"Check category"))</f>
      </c>
    </row>
    <row r="576" spans="1:7" x14ac:dyDescent="0.25">
      <c r="A576" s="22"/>
      <c r="B576" s="5"/>
      <c r="C576" s="5"/>
      <c r="D576" s="23"/>
      <c r="E576" s="5"/>
      <c r="F576" s="5"/>
      <c r="G576" s="31">
        <f>IF($B576="","",IFERROR(INDEX(Settings!$B$41:$B$55,MATCH($B576,Settings!$A$41:$A$55,0)),"Check category"))</f>
      </c>
    </row>
    <row r="577" spans="1:7" x14ac:dyDescent="0.25">
      <c r="A577" s="22"/>
      <c r="B577" s="5"/>
      <c r="C577" s="5"/>
      <c r="D577" s="23"/>
      <c r="E577" s="5"/>
      <c r="F577" s="5"/>
      <c r="G577" s="31">
        <f>IF($B577="","",IFERROR(INDEX(Settings!$B$41:$B$55,MATCH($B577,Settings!$A$41:$A$55,0)),"Check category"))</f>
      </c>
    </row>
    <row r="578" spans="1:7" x14ac:dyDescent="0.25">
      <c r="A578" s="22"/>
      <c r="B578" s="5"/>
      <c r="C578" s="5"/>
      <c r="D578" s="23"/>
      <c r="E578" s="5"/>
      <c r="F578" s="5"/>
      <c r="G578" s="31">
        <f>IF($B578="","",IFERROR(INDEX(Settings!$B$41:$B$55,MATCH($B578,Settings!$A$41:$A$55,0)),"Check category"))</f>
      </c>
    </row>
    <row r="579" spans="1:7" x14ac:dyDescent="0.25">
      <c r="A579" s="22"/>
      <c r="B579" s="5"/>
      <c r="C579" s="5"/>
      <c r="D579" s="23"/>
      <c r="E579" s="5"/>
      <c r="F579" s="5"/>
      <c r="G579" s="31">
        <f>IF($B579="","",IFERROR(INDEX(Settings!$B$41:$B$55,MATCH($B579,Settings!$A$41:$A$55,0)),"Check category"))</f>
      </c>
    </row>
    <row r="580" spans="1:7" x14ac:dyDescent="0.25">
      <c r="A580" s="22"/>
      <c r="B580" s="5"/>
      <c r="C580" s="5"/>
      <c r="D580" s="23"/>
      <c r="E580" s="5"/>
      <c r="F580" s="5"/>
      <c r="G580" s="31">
        <f>IF($B580="","",IFERROR(INDEX(Settings!$B$41:$B$55,MATCH($B580,Settings!$A$41:$A$55,0)),"Check category"))</f>
      </c>
    </row>
    <row r="581" spans="1:7" x14ac:dyDescent="0.25">
      <c r="A581" s="22"/>
      <c r="B581" s="5"/>
      <c r="C581" s="5"/>
      <c r="D581" s="23"/>
      <c r="E581" s="5"/>
      <c r="F581" s="5"/>
      <c r="G581" s="31">
        <f>IF($B581="","",IFERROR(INDEX(Settings!$B$41:$B$55,MATCH($B581,Settings!$A$41:$A$55,0)),"Check category"))</f>
      </c>
    </row>
    <row r="582" spans="1:7" x14ac:dyDescent="0.25">
      <c r="A582" s="22"/>
      <c r="B582" s="5"/>
      <c r="C582" s="5"/>
      <c r="D582" s="23"/>
      <c r="E582" s="5"/>
      <c r="F582" s="5"/>
      <c r="G582" s="31">
        <f>IF($B582="","",IFERROR(INDEX(Settings!$B$41:$B$55,MATCH($B582,Settings!$A$41:$A$55,0)),"Check category"))</f>
      </c>
    </row>
    <row r="583" spans="1:7" x14ac:dyDescent="0.25">
      <c r="A583" s="22"/>
      <c r="B583" s="5"/>
      <c r="C583" s="5"/>
      <c r="D583" s="23"/>
      <c r="E583" s="5"/>
      <c r="F583" s="5"/>
      <c r="G583" s="31">
        <f>IF($B583="","",IFERROR(INDEX(Settings!$B$41:$B$55,MATCH($B583,Settings!$A$41:$A$55,0)),"Check category"))</f>
      </c>
    </row>
    <row r="584" spans="1:7" x14ac:dyDescent="0.25">
      <c r="A584" s="22"/>
      <c r="B584" s="5"/>
      <c r="C584" s="5"/>
      <c r="D584" s="23"/>
      <c r="E584" s="5"/>
      <c r="F584" s="5"/>
      <c r="G584" s="31">
        <f>IF($B584="","",IFERROR(INDEX(Settings!$B$41:$B$55,MATCH($B584,Settings!$A$41:$A$55,0)),"Check category"))</f>
      </c>
    </row>
    <row r="585" spans="1:7" x14ac:dyDescent="0.25">
      <c r="A585" s="22"/>
      <c r="B585" s="5"/>
      <c r="C585" s="5"/>
      <c r="D585" s="23"/>
      <c r="E585" s="5"/>
      <c r="F585" s="5"/>
      <c r="G585" s="31">
        <f>IF($B585="","",IFERROR(INDEX(Settings!$B$41:$B$55,MATCH($B585,Settings!$A$41:$A$55,0)),"Check category"))</f>
      </c>
    </row>
    <row r="586" spans="1:7" x14ac:dyDescent="0.25">
      <c r="A586" s="22"/>
      <c r="B586" s="5"/>
      <c r="C586" s="5"/>
      <c r="D586" s="23"/>
      <c r="E586" s="5"/>
      <c r="F586" s="5"/>
      <c r="G586" s="31">
        <f>IF($B586="","",IFERROR(INDEX(Settings!$B$41:$B$55,MATCH($B586,Settings!$A$41:$A$55,0)),"Check category"))</f>
      </c>
    </row>
    <row r="587" spans="1:7" x14ac:dyDescent="0.25">
      <c r="A587" s="22"/>
      <c r="B587" s="5"/>
      <c r="C587" s="5"/>
      <c r="D587" s="23"/>
      <c r="E587" s="5"/>
      <c r="F587" s="5"/>
      <c r="G587" s="31">
        <f>IF($B587="","",IFERROR(INDEX(Settings!$B$41:$B$55,MATCH($B587,Settings!$A$41:$A$55,0)),"Check category"))</f>
      </c>
    </row>
    <row r="588" spans="1:7" x14ac:dyDescent="0.25">
      <c r="A588" s="22"/>
      <c r="B588" s="5"/>
      <c r="C588" s="5"/>
      <c r="D588" s="23"/>
      <c r="E588" s="5"/>
      <c r="F588" s="5"/>
      <c r="G588" s="31">
        <f>IF($B588="","",IFERROR(INDEX(Settings!$B$41:$B$55,MATCH($B588,Settings!$A$41:$A$55,0)),"Check category"))</f>
      </c>
    </row>
    <row r="589" spans="1:7" x14ac:dyDescent="0.25">
      <c r="A589" s="22"/>
      <c r="B589" s="5"/>
      <c r="C589" s="5"/>
      <c r="D589" s="23"/>
      <c r="E589" s="5"/>
      <c r="F589" s="5"/>
      <c r="G589" s="31">
        <f>IF($B589="","",IFERROR(INDEX(Settings!$B$41:$B$55,MATCH($B589,Settings!$A$41:$A$55,0)),"Check category"))</f>
      </c>
    </row>
    <row r="590" spans="1:7" x14ac:dyDescent="0.25">
      <c r="A590" s="22"/>
      <c r="B590" s="5"/>
      <c r="C590" s="5"/>
      <c r="D590" s="23"/>
      <c r="E590" s="5"/>
      <c r="F590" s="5"/>
      <c r="G590" s="31">
        <f>IF($B590="","",IFERROR(INDEX(Settings!$B$41:$B$55,MATCH($B590,Settings!$A$41:$A$55,0)),"Check category"))</f>
      </c>
    </row>
    <row r="591" spans="1:7" x14ac:dyDescent="0.25">
      <c r="A591" s="22"/>
      <c r="B591" s="5"/>
      <c r="C591" s="5"/>
      <c r="D591" s="23"/>
      <c r="E591" s="5"/>
      <c r="F591" s="5"/>
      <c r="G591" s="31">
        <f>IF($B591="","",IFERROR(INDEX(Settings!$B$41:$B$55,MATCH($B591,Settings!$A$41:$A$55,0)),"Check category"))</f>
      </c>
    </row>
    <row r="592" spans="1:7" x14ac:dyDescent="0.25">
      <c r="A592" s="22"/>
      <c r="B592" s="5"/>
      <c r="C592" s="5"/>
      <c r="D592" s="23"/>
      <c r="E592" s="5"/>
      <c r="F592" s="5"/>
      <c r="G592" s="31">
        <f>IF($B592="","",IFERROR(INDEX(Settings!$B$41:$B$55,MATCH($B592,Settings!$A$41:$A$55,0)),"Check category"))</f>
      </c>
    </row>
    <row r="593" spans="1:7" x14ac:dyDescent="0.25">
      <c r="A593" s="22"/>
      <c r="B593" s="5"/>
      <c r="C593" s="5"/>
      <c r="D593" s="23"/>
      <c r="E593" s="5"/>
      <c r="F593" s="5"/>
      <c r="G593" s="31">
        <f>IF($B593="","",IFERROR(INDEX(Settings!$B$41:$B$55,MATCH($B593,Settings!$A$41:$A$55,0)),"Check category"))</f>
      </c>
    </row>
    <row r="594" spans="1:7" x14ac:dyDescent="0.25">
      <c r="A594" s="22"/>
      <c r="B594" s="5"/>
      <c r="C594" s="5"/>
      <c r="D594" s="23"/>
      <c r="E594" s="5"/>
      <c r="F594" s="5"/>
      <c r="G594" s="31">
        <f>IF($B594="","",IFERROR(INDEX(Settings!$B$41:$B$55,MATCH($B594,Settings!$A$41:$A$55,0)),"Check category"))</f>
      </c>
    </row>
    <row r="595" spans="1:7" x14ac:dyDescent="0.25">
      <c r="A595" s="22"/>
      <c r="B595" s="5"/>
      <c r="C595" s="5"/>
      <c r="D595" s="23"/>
      <c r="E595" s="5"/>
      <c r="F595" s="5"/>
      <c r="G595" s="31">
        <f>IF($B595="","",IFERROR(INDEX(Settings!$B$41:$B$55,MATCH($B595,Settings!$A$41:$A$55,0)),"Check category"))</f>
      </c>
    </row>
    <row r="596" spans="1:7" x14ac:dyDescent="0.25">
      <c r="A596" s="22"/>
      <c r="B596" s="5"/>
      <c r="C596" s="5"/>
      <c r="D596" s="23"/>
      <c r="E596" s="5"/>
      <c r="F596" s="5"/>
      <c r="G596" s="31">
        <f>IF($B596="","",IFERROR(INDEX(Settings!$B$41:$B$55,MATCH($B596,Settings!$A$41:$A$55,0)),"Check category"))</f>
      </c>
    </row>
    <row r="597" spans="1:7" x14ac:dyDescent="0.25">
      <c r="A597" s="22"/>
      <c r="B597" s="5"/>
      <c r="C597" s="5"/>
      <c r="D597" s="23"/>
      <c r="E597" s="5"/>
      <c r="F597" s="5"/>
      <c r="G597" s="31">
        <f>IF($B597="","",IFERROR(INDEX(Settings!$B$41:$B$55,MATCH($B597,Settings!$A$41:$A$55,0)),"Check category"))</f>
      </c>
    </row>
    <row r="598" spans="1:7" x14ac:dyDescent="0.25">
      <c r="A598" s="22"/>
      <c r="B598" s="5"/>
      <c r="C598" s="5"/>
      <c r="D598" s="23"/>
      <c r="E598" s="5"/>
      <c r="F598" s="5"/>
      <c r="G598" s="31">
        <f>IF($B598="","",IFERROR(INDEX(Settings!$B$41:$B$55,MATCH($B598,Settings!$A$41:$A$55,0)),"Check category"))</f>
      </c>
    </row>
    <row r="599" spans="1:7" x14ac:dyDescent="0.25">
      <c r="A599" s="22"/>
      <c r="B599" s="5"/>
      <c r="C599" s="5"/>
      <c r="D599" s="23"/>
      <c r="E599" s="5"/>
      <c r="F599" s="5"/>
      <c r="G599" s="31">
        <f>IF($B599="","",IFERROR(INDEX(Settings!$B$41:$B$55,MATCH($B599,Settings!$A$41:$A$55,0)),"Check category"))</f>
      </c>
    </row>
    <row r="600" spans="1:7" x14ac:dyDescent="0.25">
      <c r="A600" s="22"/>
      <c r="B600" s="5"/>
      <c r="C600" s="5"/>
      <c r="D600" s="23"/>
      <c r="E600" s="5"/>
      <c r="F600" s="5"/>
      <c r="G600" s="31">
        <f>IF($B600="","",IFERROR(INDEX(Settings!$B$41:$B$55,MATCH($B600,Settings!$A$41:$A$55,0)),"Check category"))</f>
      </c>
    </row>
    <row r="601" spans="1:7" x14ac:dyDescent="0.25">
      <c r="A601" s="22"/>
      <c r="B601" s="5"/>
      <c r="C601" s="5"/>
      <c r="D601" s="23"/>
      <c r="E601" s="5"/>
      <c r="F601" s="5"/>
      <c r="G601" s="31">
        <f>IF($B601="","",IFERROR(INDEX(Settings!$B$41:$B$55,MATCH($B601,Settings!$A$41:$A$55,0)),"Check category"))</f>
      </c>
    </row>
    <row r="602" spans="1:7" x14ac:dyDescent="0.25">
      <c r="A602" s="22"/>
      <c r="B602" s="5"/>
      <c r="C602" s="5"/>
      <c r="D602" s="23"/>
      <c r="E602" s="5"/>
      <c r="F602" s="5"/>
      <c r="G602" s="31">
        <f>IF($B602="","",IFERROR(INDEX(Settings!$B$41:$B$55,MATCH($B602,Settings!$A$41:$A$55,0)),"Check category"))</f>
      </c>
    </row>
    <row r="603" spans="1:7" x14ac:dyDescent="0.25">
      <c r="A603" s="22"/>
      <c r="B603" s="5"/>
      <c r="C603" s="5"/>
      <c r="D603" s="23"/>
      <c r="E603" s="5"/>
      <c r="F603" s="5"/>
      <c r="G603" s="31">
        <f>IF($B603="","",IFERROR(INDEX(Settings!$B$41:$B$55,MATCH($B603,Settings!$A$41:$A$55,0)),"Check category"))</f>
      </c>
    </row>
    <row r="604" spans="1:7" x14ac:dyDescent="0.25">
      <c r="A604" s="22"/>
      <c r="B604" s="5"/>
      <c r="C604" s="5"/>
      <c r="D604" s="23"/>
      <c r="E604" s="5"/>
      <c r="F604" s="5"/>
      <c r="G604" s="31">
        <f>IF($B604="","",IFERROR(INDEX(Settings!$B$41:$B$55,MATCH($B604,Settings!$A$41:$A$55,0)),"Check category"))</f>
      </c>
    </row>
    <row r="605" spans="1:7" x14ac:dyDescent="0.25">
      <c r="A605" s="22"/>
      <c r="B605" s="5"/>
      <c r="C605" s="5"/>
      <c r="D605" s="23"/>
      <c r="E605" s="5"/>
      <c r="F605" s="5"/>
      <c r="G605" s="31">
        <f>IF($B605="","",IFERROR(INDEX(Settings!$B$41:$B$55,MATCH($B605,Settings!$A$41:$A$55,0)),"Check category"))</f>
      </c>
    </row>
    <row r="606" spans="1:7" x14ac:dyDescent="0.25">
      <c r="A606" s="22"/>
      <c r="B606" s="5"/>
      <c r="C606" s="5"/>
      <c r="D606" s="23"/>
      <c r="E606" s="5"/>
      <c r="F606" s="5"/>
      <c r="G606" s="31">
        <f>IF($B606="","",IFERROR(INDEX(Settings!$B$41:$B$55,MATCH($B606,Settings!$A$41:$A$55,0)),"Check category"))</f>
      </c>
    </row>
    <row r="607" spans="1:7" x14ac:dyDescent="0.25">
      <c r="A607" s="22"/>
      <c r="B607" s="5"/>
      <c r="C607" s="5"/>
      <c r="D607" s="23"/>
      <c r="E607" s="5"/>
      <c r="F607" s="5"/>
      <c r="G607" s="31">
        <f>IF($B607="","",IFERROR(INDEX(Settings!$B$41:$B$55,MATCH($B607,Settings!$A$41:$A$55,0)),"Check category"))</f>
      </c>
    </row>
    <row r="608" spans="1:7" x14ac:dyDescent="0.25">
      <c r="A608" s="22"/>
      <c r="B608" s="5"/>
      <c r="C608" s="5"/>
      <c r="D608" s="23"/>
      <c r="E608" s="5"/>
      <c r="F608" s="5"/>
      <c r="G608" s="31">
        <f>IF($B608="","",IFERROR(INDEX(Settings!$B$41:$B$55,MATCH($B608,Settings!$A$41:$A$55,0)),"Check category"))</f>
      </c>
    </row>
    <row r="609" spans="1:7" x14ac:dyDescent="0.25">
      <c r="A609" s="22"/>
      <c r="B609" s="5"/>
      <c r="C609" s="5"/>
      <c r="D609" s="23"/>
      <c r="E609" s="5"/>
      <c r="F609" s="5"/>
      <c r="G609" s="31">
        <f>IF($B609="","",IFERROR(INDEX(Settings!$B$41:$B$55,MATCH($B609,Settings!$A$41:$A$55,0)),"Check category"))</f>
      </c>
    </row>
    <row r="610" spans="1:7" x14ac:dyDescent="0.25">
      <c r="A610" s="22"/>
      <c r="B610" s="5"/>
      <c r="C610" s="5"/>
      <c r="D610" s="23"/>
      <c r="E610" s="5"/>
      <c r="F610" s="5"/>
      <c r="G610" s="31">
        <f>IF($B610="","",IFERROR(INDEX(Settings!$B$41:$B$55,MATCH($B610,Settings!$A$41:$A$55,0)),"Check category"))</f>
      </c>
    </row>
    <row r="611" spans="1:7" x14ac:dyDescent="0.25">
      <c r="A611" s="22"/>
      <c r="B611" s="5"/>
      <c r="C611" s="5"/>
      <c r="D611" s="23"/>
      <c r="E611" s="5"/>
      <c r="F611" s="5"/>
      <c r="G611" s="31">
        <f>IF($B611="","",IFERROR(INDEX(Settings!$B$41:$B$55,MATCH($B611,Settings!$A$41:$A$55,0)),"Check category"))</f>
      </c>
    </row>
    <row r="612" spans="1:7" x14ac:dyDescent="0.25">
      <c r="A612" s="22"/>
      <c r="B612" s="5"/>
      <c r="C612" s="5"/>
      <c r="D612" s="23"/>
      <c r="E612" s="5"/>
      <c r="F612" s="5"/>
      <c r="G612" s="31">
        <f>IF($B612="","",IFERROR(INDEX(Settings!$B$41:$B$55,MATCH($B612,Settings!$A$41:$A$55,0)),"Check category"))</f>
      </c>
    </row>
    <row r="613" spans="1:7" x14ac:dyDescent="0.25">
      <c r="A613" s="22"/>
      <c r="B613" s="5"/>
      <c r="C613" s="5"/>
      <c r="D613" s="23"/>
      <c r="E613" s="5"/>
      <c r="F613" s="5"/>
      <c r="G613" s="31">
        <f>IF($B613="","",IFERROR(INDEX(Settings!$B$41:$B$55,MATCH($B613,Settings!$A$41:$A$55,0)),"Check category"))</f>
      </c>
    </row>
    <row r="614" spans="1:7" x14ac:dyDescent="0.25">
      <c r="A614" s="22"/>
      <c r="B614" s="5"/>
      <c r="C614" s="5"/>
      <c r="D614" s="23"/>
      <c r="E614" s="5"/>
      <c r="F614" s="5"/>
      <c r="G614" s="31">
        <f>IF($B614="","",IFERROR(INDEX(Settings!$B$41:$B$55,MATCH($B614,Settings!$A$41:$A$55,0)),"Check category"))</f>
      </c>
    </row>
    <row r="615" spans="1:7" x14ac:dyDescent="0.25">
      <c r="A615" s="22"/>
      <c r="B615" s="5"/>
      <c r="C615" s="5"/>
      <c r="D615" s="23"/>
      <c r="E615" s="5"/>
      <c r="F615" s="5"/>
      <c r="G615" s="31">
        <f>IF($B615="","",IFERROR(INDEX(Settings!$B$41:$B$55,MATCH($B615,Settings!$A$41:$A$55,0)),"Check category"))</f>
      </c>
    </row>
    <row r="616" spans="1:7" x14ac:dyDescent="0.25">
      <c r="A616" s="22"/>
      <c r="B616" s="5"/>
      <c r="C616" s="5"/>
      <c r="D616" s="23"/>
      <c r="E616" s="5"/>
      <c r="F616" s="5"/>
      <c r="G616" s="31">
        <f>IF($B616="","",IFERROR(INDEX(Settings!$B$41:$B$55,MATCH($B616,Settings!$A$41:$A$55,0)),"Check category"))</f>
      </c>
    </row>
    <row r="617" spans="1:7" x14ac:dyDescent="0.25">
      <c r="A617" s="22"/>
      <c r="B617" s="5"/>
      <c r="C617" s="5"/>
      <c r="D617" s="23"/>
      <c r="E617" s="5"/>
      <c r="F617" s="5"/>
      <c r="G617" s="31">
        <f>IF($B617="","",IFERROR(INDEX(Settings!$B$41:$B$55,MATCH($B617,Settings!$A$41:$A$55,0)),"Check category"))</f>
      </c>
    </row>
    <row r="618" spans="1:7" x14ac:dyDescent="0.25">
      <c r="A618" s="22"/>
      <c r="B618" s="5"/>
      <c r="C618" s="5"/>
      <c r="D618" s="23"/>
      <c r="E618" s="5"/>
      <c r="F618" s="5"/>
      <c r="G618" s="31">
        <f>IF($B618="","",IFERROR(INDEX(Settings!$B$41:$B$55,MATCH($B618,Settings!$A$41:$A$55,0)),"Check category"))</f>
      </c>
    </row>
    <row r="619" spans="1:7" x14ac:dyDescent="0.25">
      <c r="A619" s="22"/>
      <c r="B619" s="5"/>
      <c r="C619" s="5"/>
      <c r="D619" s="23"/>
      <c r="E619" s="5"/>
      <c r="F619" s="5"/>
      <c r="G619" s="31">
        <f>IF($B619="","",IFERROR(INDEX(Settings!$B$41:$B$55,MATCH($B619,Settings!$A$41:$A$55,0)),"Check category"))</f>
      </c>
    </row>
    <row r="620" spans="1:7" x14ac:dyDescent="0.25">
      <c r="A620" s="22"/>
      <c r="B620" s="5"/>
      <c r="C620" s="5"/>
      <c r="D620" s="23"/>
      <c r="E620" s="5"/>
      <c r="F620" s="5"/>
      <c r="G620" s="31">
        <f>IF($B620="","",IFERROR(INDEX(Settings!$B$41:$B$55,MATCH($B620,Settings!$A$41:$A$55,0)),"Check category"))</f>
      </c>
    </row>
    <row r="621" spans="1:7" x14ac:dyDescent="0.25">
      <c r="A621" s="22"/>
      <c r="B621" s="5"/>
      <c r="C621" s="5"/>
      <c r="D621" s="23"/>
      <c r="E621" s="5"/>
      <c r="F621" s="5"/>
      <c r="G621" s="31">
        <f>IF($B621="","",IFERROR(INDEX(Settings!$B$41:$B$55,MATCH($B621,Settings!$A$41:$A$55,0)),"Check category"))</f>
      </c>
    </row>
    <row r="622" spans="1:7" x14ac:dyDescent="0.25">
      <c r="A622" s="22"/>
      <c r="B622" s="5"/>
      <c r="C622" s="5"/>
      <c r="D622" s="23"/>
      <c r="E622" s="5"/>
      <c r="F622" s="5"/>
      <c r="G622" s="31">
        <f>IF($B622="","",IFERROR(INDEX(Settings!$B$41:$B$55,MATCH($B622,Settings!$A$41:$A$55,0)),"Check category"))</f>
      </c>
    </row>
    <row r="623" spans="1:7" x14ac:dyDescent="0.25">
      <c r="A623" s="22"/>
      <c r="B623" s="5"/>
      <c r="C623" s="5"/>
      <c r="D623" s="23"/>
      <c r="E623" s="5"/>
      <c r="F623" s="5"/>
      <c r="G623" s="31">
        <f>IF($B623="","",IFERROR(INDEX(Settings!$B$41:$B$55,MATCH($B623,Settings!$A$41:$A$55,0)),"Check category"))</f>
      </c>
    </row>
    <row r="624" spans="1:7" x14ac:dyDescent="0.25">
      <c r="A624" s="22"/>
      <c r="B624" s="5"/>
      <c r="C624" s="5"/>
      <c r="D624" s="23"/>
      <c r="E624" s="5"/>
      <c r="F624" s="5"/>
      <c r="G624" s="31">
        <f>IF($B624="","",IFERROR(INDEX(Settings!$B$41:$B$55,MATCH($B624,Settings!$A$41:$A$55,0)),"Check category"))</f>
      </c>
    </row>
    <row r="625" spans="1:7" x14ac:dyDescent="0.25">
      <c r="A625" s="22"/>
      <c r="B625" s="5"/>
      <c r="C625" s="5"/>
      <c r="D625" s="23"/>
      <c r="E625" s="5"/>
      <c r="F625" s="5"/>
      <c r="G625" s="31">
        <f>IF($B625="","",IFERROR(INDEX(Settings!$B$41:$B$55,MATCH($B625,Settings!$A$41:$A$55,0)),"Check category"))</f>
      </c>
    </row>
    <row r="626" spans="1:7" x14ac:dyDescent="0.25">
      <c r="A626" s="22"/>
      <c r="B626" s="5"/>
      <c r="C626" s="5"/>
      <c r="D626" s="23"/>
      <c r="E626" s="5"/>
      <c r="F626" s="5"/>
      <c r="G626" s="31">
        <f>IF($B626="","",IFERROR(INDEX(Settings!$B$41:$B$55,MATCH($B626,Settings!$A$41:$A$55,0)),"Check category"))</f>
      </c>
    </row>
    <row r="627" spans="1:7" x14ac:dyDescent="0.25">
      <c r="A627" s="22"/>
      <c r="B627" s="5"/>
      <c r="C627" s="5"/>
      <c r="D627" s="23"/>
      <c r="E627" s="5"/>
      <c r="F627" s="5"/>
      <c r="G627" s="31">
        <f>IF($B627="","",IFERROR(INDEX(Settings!$B$41:$B$55,MATCH($B627,Settings!$A$41:$A$55,0)),"Check category"))</f>
      </c>
    </row>
    <row r="628" spans="1:7" x14ac:dyDescent="0.25">
      <c r="A628" s="22"/>
      <c r="B628" s="5"/>
      <c r="C628" s="5"/>
      <c r="D628" s="23"/>
      <c r="E628" s="5"/>
      <c r="F628" s="5"/>
      <c r="G628" s="31">
        <f>IF($B628="","",IFERROR(INDEX(Settings!$B$41:$B$55,MATCH($B628,Settings!$A$41:$A$55,0)),"Check category"))</f>
      </c>
    </row>
    <row r="629" spans="1:7" x14ac:dyDescent="0.25">
      <c r="A629" s="22"/>
      <c r="B629" s="5"/>
      <c r="C629" s="5"/>
      <c r="D629" s="23"/>
      <c r="E629" s="5"/>
      <c r="F629" s="5"/>
      <c r="G629" s="31">
        <f>IF($B629="","",IFERROR(INDEX(Settings!$B$41:$B$55,MATCH($B629,Settings!$A$41:$A$55,0)),"Check category"))</f>
      </c>
    </row>
    <row r="630" spans="1:7" x14ac:dyDescent="0.25">
      <c r="A630" s="22"/>
      <c r="B630" s="5"/>
      <c r="C630" s="5"/>
      <c r="D630" s="23"/>
      <c r="E630" s="5"/>
      <c r="F630" s="5"/>
      <c r="G630" s="31">
        <f>IF($B630="","",IFERROR(INDEX(Settings!$B$41:$B$55,MATCH($B630,Settings!$A$41:$A$55,0)),"Check category"))</f>
      </c>
    </row>
    <row r="631" spans="1:7" x14ac:dyDescent="0.25">
      <c r="A631" s="22"/>
      <c r="B631" s="5"/>
      <c r="C631" s="5"/>
      <c r="D631" s="23"/>
      <c r="E631" s="5"/>
      <c r="F631" s="5"/>
      <c r="G631" s="31">
        <f>IF($B631="","",IFERROR(INDEX(Settings!$B$41:$B$55,MATCH($B631,Settings!$A$41:$A$55,0)),"Check category"))</f>
      </c>
    </row>
    <row r="632" spans="1:7" x14ac:dyDescent="0.25">
      <c r="A632" s="22"/>
      <c r="B632" s="5"/>
      <c r="C632" s="5"/>
      <c r="D632" s="23"/>
      <c r="E632" s="5"/>
      <c r="F632" s="5"/>
      <c r="G632" s="31">
        <f>IF($B632="","",IFERROR(INDEX(Settings!$B$41:$B$55,MATCH($B632,Settings!$A$41:$A$55,0)),"Check category"))</f>
      </c>
    </row>
    <row r="633" spans="1:7" x14ac:dyDescent="0.25">
      <c r="A633" s="22"/>
      <c r="B633" s="5"/>
      <c r="C633" s="5"/>
      <c r="D633" s="23"/>
      <c r="E633" s="5"/>
      <c r="F633" s="5"/>
      <c r="G633" s="31">
        <f>IF($B633="","",IFERROR(INDEX(Settings!$B$41:$B$55,MATCH($B633,Settings!$A$41:$A$55,0)),"Check category"))</f>
      </c>
    </row>
    <row r="634" spans="1:7" x14ac:dyDescent="0.25">
      <c r="A634" s="22"/>
      <c r="B634" s="5"/>
      <c r="C634" s="5"/>
      <c r="D634" s="23"/>
      <c r="E634" s="5"/>
      <c r="F634" s="5"/>
      <c r="G634" s="31">
        <f>IF($B634="","",IFERROR(INDEX(Settings!$B$41:$B$55,MATCH($B634,Settings!$A$41:$A$55,0)),"Check category"))</f>
      </c>
    </row>
    <row r="635" spans="1:7" x14ac:dyDescent="0.25">
      <c r="A635" s="22"/>
      <c r="B635" s="5"/>
      <c r="C635" s="5"/>
      <c r="D635" s="23"/>
      <c r="E635" s="5"/>
      <c r="F635" s="5"/>
      <c r="G635" s="31">
        <f>IF($B635="","",IFERROR(INDEX(Settings!$B$41:$B$55,MATCH($B635,Settings!$A$41:$A$55,0)),"Check category"))</f>
      </c>
    </row>
    <row r="636" spans="1:7" x14ac:dyDescent="0.25">
      <c r="A636" s="22"/>
      <c r="B636" s="5"/>
      <c r="C636" s="5"/>
      <c r="D636" s="23"/>
      <c r="E636" s="5"/>
      <c r="F636" s="5"/>
      <c r="G636" s="31">
        <f>IF($B636="","",IFERROR(INDEX(Settings!$B$41:$B$55,MATCH($B636,Settings!$A$41:$A$55,0)),"Check category"))</f>
      </c>
    </row>
    <row r="637" spans="1:7" x14ac:dyDescent="0.25">
      <c r="A637" s="22"/>
      <c r="B637" s="5"/>
      <c r="C637" s="5"/>
      <c r="D637" s="23"/>
      <c r="E637" s="5"/>
      <c r="F637" s="5"/>
      <c r="G637" s="31">
        <f>IF($B637="","",IFERROR(INDEX(Settings!$B$41:$B$55,MATCH($B637,Settings!$A$41:$A$55,0)),"Check category"))</f>
      </c>
    </row>
    <row r="638" spans="1:7" x14ac:dyDescent="0.25">
      <c r="A638" s="22"/>
      <c r="B638" s="5"/>
      <c r="C638" s="5"/>
      <c r="D638" s="23"/>
      <c r="E638" s="5"/>
      <c r="F638" s="5"/>
      <c r="G638" s="31">
        <f>IF($B638="","",IFERROR(INDEX(Settings!$B$41:$B$55,MATCH($B638,Settings!$A$41:$A$55,0)),"Check category"))</f>
      </c>
    </row>
    <row r="639" spans="1:7" x14ac:dyDescent="0.25">
      <c r="A639" s="22"/>
      <c r="B639" s="5"/>
      <c r="C639" s="5"/>
      <c r="D639" s="23"/>
      <c r="E639" s="5"/>
      <c r="F639" s="5"/>
      <c r="G639" s="31">
        <f>IF($B639="","",IFERROR(INDEX(Settings!$B$41:$B$55,MATCH($B639,Settings!$A$41:$A$55,0)),"Check category"))</f>
      </c>
    </row>
    <row r="640" spans="1:7" x14ac:dyDescent="0.25">
      <c r="A640" s="22"/>
      <c r="B640" s="5"/>
      <c r="C640" s="5"/>
      <c r="D640" s="23"/>
      <c r="E640" s="5"/>
      <c r="F640" s="5"/>
      <c r="G640" s="31">
        <f>IF($B640="","",IFERROR(INDEX(Settings!$B$41:$B$55,MATCH($B640,Settings!$A$41:$A$55,0)),"Check category"))</f>
      </c>
    </row>
    <row r="641" spans="1:7" x14ac:dyDescent="0.25">
      <c r="A641" s="22"/>
      <c r="B641" s="5"/>
      <c r="C641" s="5"/>
      <c r="D641" s="23"/>
      <c r="E641" s="5"/>
      <c r="F641" s="5"/>
      <c r="G641" s="31">
        <f>IF($B641="","",IFERROR(INDEX(Settings!$B$41:$B$55,MATCH($B641,Settings!$A$41:$A$55,0)),"Check category"))</f>
      </c>
    </row>
    <row r="642" spans="1:7" x14ac:dyDescent="0.25">
      <c r="A642" s="22"/>
      <c r="B642" s="5"/>
      <c r="C642" s="5"/>
      <c r="D642" s="23"/>
      <c r="E642" s="5"/>
      <c r="F642" s="5"/>
      <c r="G642" s="31">
        <f>IF($B642="","",IFERROR(INDEX(Settings!$B$41:$B$55,MATCH($B642,Settings!$A$41:$A$55,0)),"Check category"))</f>
      </c>
    </row>
    <row r="643" spans="1:7" x14ac:dyDescent="0.25">
      <c r="A643" s="22"/>
      <c r="B643" s="5"/>
      <c r="C643" s="5"/>
      <c r="D643" s="23"/>
      <c r="E643" s="5"/>
      <c r="F643" s="5"/>
      <c r="G643" s="31">
        <f>IF($B643="","",IFERROR(INDEX(Settings!$B$41:$B$55,MATCH($B643,Settings!$A$41:$A$55,0)),"Check category"))</f>
      </c>
    </row>
    <row r="644" spans="1:7" x14ac:dyDescent="0.25">
      <c r="A644" s="22"/>
      <c r="B644" s="5"/>
      <c r="C644" s="5"/>
      <c r="D644" s="23"/>
      <c r="E644" s="5"/>
      <c r="F644" s="5"/>
      <c r="G644" s="31">
        <f>IF($B644="","",IFERROR(INDEX(Settings!$B$41:$B$55,MATCH($B644,Settings!$A$41:$A$55,0)),"Check category"))</f>
      </c>
    </row>
    <row r="645" spans="1:7" x14ac:dyDescent="0.25">
      <c r="A645" s="22"/>
      <c r="B645" s="5"/>
      <c r="C645" s="5"/>
      <c r="D645" s="23"/>
      <c r="E645" s="5"/>
      <c r="F645" s="5"/>
      <c r="G645" s="31">
        <f>IF($B645="","",IFERROR(INDEX(Settings!$B$41:$B$55,MATCH($B645,Settings!$A$41:$A$55,0)),"Check category"))</f>
      </c>
    </row>
    <row r="646" spans="1:7" x14ac:dyDescent="0.25">
      <c r="A646" s="22"/>
      <c r="B646" s="5"/>
      <c r="C646" s="5"/>
      <c r="D646" s="23"/>
      <c r="E646" s="5"/>
      <c r="F646" s="5"/>
      <c r="G646" s="31">
        <f>IF($B646="","",IFERROR(INDEX(Settings!$B$41:$B$55,MATCH($B646,Settings!$A$41:$A$55,0)),"Check category"))</f>
      </c>
    </row>
    <row r="647" spans="1:7" x14ac:dyDescent="0.25">
      <c r="A647" s="22"/>
      <c r="B647" s="5"/>
      <c r="C647" s="5"/>
      <c r="D647" s="23"/>
      <c r="E647" s="5"/>
      <c r="F647" s="5"/>
      <c r="G647" s="31">
        <f>IF($B647="","",IFERROR(INDEX(Settings!$B$41:$B$55,MATCH($B647,Settings!$A$41:$A$55,0)),"Check category"))</f>
      </c>
    </row>
    <row r="648" spans="1:7" x14ac:dyDescent="0.25">
      <c r="A648" s="22"/>
      <c r="B648" s="5"/>
      <c r="C648" s="5"/>
      <c r="D648" s="23"/>
      <c r="E648" s="5"/>
      <c r="F648" s="5"/>
      <c r="G648" s="31">
        <f>IF($B648="","",IFERROR(INDEX(Settings!$B$41:$B$55,MATCH($B648,Settings!$A$41:$A$55,0)),"Check category"))</f>
      </c>
    </row>
    <row r="649" spans="1:7" x14ac:dyDescent="0.25">
      <c r="A649" s="22"/>
      <c r="B649" s="5"/>
      <c r="C649" s="5"/>
      <c r="D649" s="23"/>
      <c r="E649" s="5"/>
      <c r="F649" s="5"/>
      <c r="G649" s="31">
        <f>IF($B649="","",IFERROR(INDEX(Settings!$B$41:$B$55,MATCH($B649,Settings!$A$41:$A$55,0)),"Check category"))</f>
      </c>
    </row>
    <row r="650" spans="1:7" x14ac:dyDescent="0.25">
      <c r="A650" s="22"/>
      <c r="B650" s="5"/>
      <c r="C650" s="5"/>
      <c r="D650" s="23"/>
      <c r="E650" s="5"/>
      <c r="F650" s="5"/>
      <c r="G650" s="31">
        <f>IF($B650="","",IFERROR(INDEX(Settings!$B$41:$B$55,MATCH($B650,Settings!$A$41:$A$55,0)),"Check category"))</f>
      </c>
    </row>
    <row r="651" spans="1:7" x14ac:dyDescent="0.25">
      <c r="A651" s="22"/>
      <c r="B651" s="5"/>
      <c r="C651" s="5"/>
      <c r="D651" s="23"/>
      <c r="E651" s="5"/>
      <c r="F651" s="5"/>
      <c r="G651" s="31">
        <f>IF($B651="","",IFERROR(INDEX(Settings!$B$41:$B$55,MATCH($B651,Settings!$A$41:$A$55,0)),"Check category"))</f>
      </c>
    </row>
    <row r="652" spans="1:7" x14ac:dyDescent="0.25">
      <c r="A652" s="22"/>
      <c r="B652" s="5"/>
      <c r="C652" s="5"/>
      <c r="D652" s="23"/>
      <c r="E652" s="5"/>
      <c r="F652" s="5"/>
      <c r="G652" s="31">
        <f>IF($B652="","",IFERROR(INDEX(Settings!$B$41:$B$55,MATCH($B652,Settings!$A$41:$A$55,0)),"Check category"))</f>
      </c>
    </row>
    <row r="653" spans="1:7" x14ac:dyDescent="0.25">
      <c r="A653" s="22"/>
      <c r="B653" s="5"/>
      <c r="C653" s="5"/>
      <c r="D653" s="23"/>
      <c r="E653" s="5"/>
      <c r="F653" s="5"/>
      <c r="G653" s="31">
        <f>IF($B653="","",IFERROR(INDEX(Settings!$B$41:$B$55,MATCH($B653,Settings!$A$41:$A$55,0)),"Check category"))</f>
      </c>
    </row>
    <row r="654" spans="1:7" x14ac:dyDescent="0.25">
      <c r="A654" s="22"/>
      <c r="B654" s="5"/>
      <c r="C654" s="5"/>
      <c r="D654" s="23"/>
      <c r="E654" s="5"/>
      <c r="F654" s="5"/>
      <c r="G654" s="31">
        <f>IF($B654="","",IFERROR(INDEX(Settings!$B$41:$B$55,MATCH($B654,Settings!$A$41:$A$55,0)),"Check category"))</f>
      </c>
    </row>
    <row r="655" spans="1:7" x14ac:dyDescent="0.25">
      <c r="A655" s="22"/>
      <c r="B655" s="5"/>
      <c r="C655" s="5"/>
      <c r="D655" s="23"/>
      <c r="E655" s="5"/>
      <c r="F655" s="5"/>
      <c r="G655" s="31">
        <f>IF($B655="","",IFERROR(INDEX(Settings!$B$41:$B$55,MATCH($B655,Settings!$A$41:$A$55,0)),"Check category"))</f>
      </c>
    </row>
    <row r="656" spans="1:7" x14ac:dyDescent="0.25">
      <c r="A656" s="22"/>
      <c r="B656" s="5"/>
      <c r="C656" s="5"/>
      <c r="D656" s="23"/>
      <c r="E656" s="5"/>
      <c r="F656" s="5"/>
      <c r="G656" s="31">
        <f>IF($B656="","",IFERROR(INDEX(Settings!$B$41:$B$55,MATCH($B656,Settings!$A$41:$A$55,0)),"Check category"))</f>
      </c>
    </row>
    <row r="657" spans="1:7" x14ac:dyDescent="0.25">
      <c r="A657" s="22"/>
      <c r="B657" s="5"/>
      <c r="C657" s="5"/>
      <c r="D657" s="23"/>
      <c r="E657" s="5"/>
      <c r="F657" s="5"/>
      <c r="G657" s="31">
        <f>IF($B657="","",IFERROR(INDEX(Settings!$B$41:$B$55,MATCH($B657,Settings!$A$41:$A$55,0)),"Check category"))</f>
      </c>
    </row>
    <row r="658" spans="1:7" x14ac:dyDescent="0.25">
      <c r="A658" s="22"/>
      <c r="B658" s="5"/>
      <c r="C658" s="5"/>
      <c r="D658" s="23"/>
      <c r="E658" s="5"/>
      <c r="F658" s="5"/>
      <c r="G658" s="31">
        <f>IF($B658="","",IFERROR(INDEX(Settings!$B$41:$B$55,MATCH($B658,Settings!$A$41:$A$55,0)),"Check category"))</f>
      </c>
    </row>
    <row r="659" spans="1:7" x14ac:dyDescent="0.25">
      <c r="A659" s="22"/>
      <c r="B659" s="5"/>
      <c r="C659" s="5"/>
      <c r="D659" s="23"/>
      <c r="E659" s="5"/>
      <c r="F659" s="5"/>
      <c r="G659" s="31">
        <f>IF($B659="","",IFERROR(INDEX(Settings!$B$41:$B$55,MATCH($B659,Settings!$A$41:$A$55,0)),"Check category"))</f>
      </c>
    </row>
    <row r="660" spans="1:7" x14ac:dyDescent="0.25">
      <c r="A660" s="22"/>
      <c r="B660" s="5"/>
      <c r="C660" s="5"/>
      <c r="D660" s="23"/>
      <c r="E660" s="5"/>
      <c r="F660" s="5"/>
      <c r="G660" s="31">
        <f>IF($B660="","",IFERROR(INDEX(Settings!$B$41:$B$55,MATCH($B660,Settings!$A$41:$A$55,0)),"Check category"))</f>
      </c>
    </row>
    <row r="661" spans="1:7" x14ac:dyDescent="0.25">
      <c r="A661" s="22"/>
      <c r="B661" s="5"/>
      <c r="C661" s="5"/>
      <c r="D661" s="23"/>
      <c r="E661" s="5"/>
      <c r="F661" s="5"/>
      <c r="G661" s="31">
        <f>IF($B661="","",IFERROR(INDEX(Settings!$B$41:$B$55,MATCH($B661,Settings!$A$41:$A$55,0)),"Check category"))</f>
      </c>
    </row>
    <row r="662" spans="1:7" x14ac:dyDescent="0.25">
      <c r="A662" s="22"/>
      <c r="B662" s="5"/>
      <c r="C662" s="5"/>
      <c r="D662" s="23"/>
      <c r="E662" s="5"/>
      <c r="F662" s="5"/>
      <c r="G662" s="31">
        <f>IF($B662="","",IFERROR(INDEX(Settings!$B$41:$B$55,MATCH($B662,Settings!$A$41:$A$55,0)),"Check category"))</f>
      </c>
    </row>
    <row r="663" spans="1:7" x14ac:dyDescent="0.25">
      <c r="A663" s="22"/>
      <c r="B663" s="5"/>
      <c r="C663" s="5"/>
      <c r="D663" s="23"/>
      <c r="E663" s="5"/>
      <c r="F663" s="5"/>
      <c r="G663" s="31">
        <f>IF($B663="","",IFERROR(INDEX(Settings!$B$41:$B$55,MATCH($B663,Settings!$A$41:$A$55,0)),"Check category"))</f>
      </c>
    </row>
    <row r="664" spans="1:7" x14ac:dyDescent="0.25">
      <c r="A664" s="22"/>
      <c r="B664" s="5"/>
      <c r="C664" s="5"/>
      <c r="D664" s="23"/>
      <c r="E664" s="5"/>
      <c r="F664" s="5"/>
      <c r="G664" s="31">
        <f>IF($B664="","",IFERROR(INDEX(Settings!$B$41:$B$55,MATCH($B664,Settings!$A$41:$A$55,0)),"Check category"))</f>
      </c>
    </row>
    <row r="665" spans="1:7" x14ac:dyDescent="0.25">
      <c r="A665" s="22"/>
      <c r="B665" s="5"/>
      <c r="C665" s="5"/>
      <c r="D665" s="23"/>
      <c r="E665" s="5"/>
      <c r="F665" s="5"/>
      <c r="G665" s="31">
        <f>IF($B665="","",IFERROR(INDEX(Settings!$B$41:$B$55,MATCH($B665,Settings!$A$41:$A$55,0)),"Check category"))</f>
      </c>
    </row>
    <row r="666" spans="1:7" x14ac:dyDescent="0.25">
      <c r="A666" s="22"/>
      <c r="B666" s="5"/>
      <c r="C666" s="5"/>
      <c r="D666" s="23"/>
      <c r="E666" s="5"/>
      <c r="F666" s="5"/>
      <c r="G666" s="31">
        <f>IF($B666="","",IFERROR(INDEX(Settings!$B$41:$B$55,MATCH($B666,Settings!$A$41:$A$55,0)),"Check category"))</f>
      </c>
    </row>
    <row r="667" spans="1:7" x14ac:dyDescent="0.25">
      <c r="A667" s="22"/>
      <c r="B667" s="5"/>
      <c r="C667" s="5"/>
      <c r="D667" s="23"/>
      <c r="E667" s="5"/>
      <c r="F667" s="5"/>
      <c r="G667" s="31">
        <f>IF($B667="","",IFERROR(INDEX(Settings!$B$41:$B$55,MATCH($B667,Settings!$A$41:$A$55,0)),"Check category"))</f>
      </c>
    </row>
    <row r="668" spans="1:7" x14ac:dyDescent="0.25">
      <c r="A668" s="22"/>
      <c r="B668" s="5"/>
      <c r="C668" s="5"/>
      <c r="D668" s="23"/>
      <c r="E668" s="5"/>
      <c r="F668" s="5"/>
      <c r="G668" s="31">
        <f>IF($B668="","",IFERROR(INDEX(Settings!$B$41:$B$55,MATCH($B668,Settings!$A$41:$A$55,0)),"Check category"))</f>
      </c>
    </row>
    <row r="669" spans="1:7" x14ac:dyDescent="0.25">
      <c r="A669" s="22"/>
      <c r="B669" s="5"/>
      <c r="C669" s="5"/>
      <c r="D669" s="23"/>
      <c r="E669" s="5"/>
      <c r="F669" s="5"/>
      <c r="G669" s="31">
        <f>IF($B669="","",IFERROR(INDEX(Settings!$B$41:$B$55,MATCH($B669,Settings!$A$41:$A$55,0)),"Check category"))</f>
      </c>
    </row>
    <row r="670" spans="1:7" x14ac:dyDescent="0.25">
      <c r="A670" s="22"/>
      <c r="B670" s="5"/>
      <c r="C670" s="5"/>
      <c r="D670" s="23"/>
      <c r="E670" s="5"/>
      <c r="F670" s="5"/>
      <c r="G670" s="31">
        <f>IF($B670="","",IFERROR(INDEX(Settings!$B$41:$B$55,MATCH($B670,Settings!$A$41:$A$55,0)),"Check category"))</f>
      </c>
    </row>
    <row r="671" spans="1:7" x14ac:dyDescent="0.25">
      <c r="A671" s="22"/>
      <c r="B671" s="5"/>
      <c r="C671" s="5"/>
      <c r="D671" s="23"/>
      <c r="E671" s="5"/>
      <c r="F671" s="5"/>
      <c r="G671" s="31">
        <f>IF($B671="","",IFERROR(INDEX(Settings!$B$41:$B$55,MATCH($B671,Settings!$A$41:$A$55,0)),"Check category"))</f>
      </c>
    </row>
    <row r="672" spans="1:7" x14ac:dyDescent="0.25">
      <c r="A672" s="22"/>
      <c r="B672" s="5"/>
      <c r="C672" s="5"/>
      <c r="D672" s="23"/>
      <c r="E672" s="5"/>
      <c r="F672" s="5"/>
      <c r="G672" s="31">
        <f>IF($B672="","",IFERROR(INDEX(Settings!$B$41:$B$55,MATCH($B672,Settings!$A$41:$A$55,0)),"Check category"))</f>
      </c>
    </row>
    <row r="673" spans="1:7" x14ac:dyDescent="0.25">
      <c r="A673" s="22"/>
      <c r="B673" s="5"/>
      <c r="C673" s="5"/>
      <c r="D673" s="23"/>
      <c r="E673" s="5"/>
      <c r="F673" s="5"/>
      <c r="G673" s="31">
        <f>IF($B673="","",IFERROR(INDEX(Settings!$B$41:$B$55,MATCH($B673,Settings!$A$41:$A$55,0)),"Check category"))</f>
      </c>
    </row>
    <row r="674" spans="1:7" x14ac:dyDescent="0.25">
      <c r="A674" s="22"/>
      <c r="B674" s="5"/>
      <c r="C674" s="5"/>
      <c r="D674" s="23"/>
      <c r="E674" s="5"/>
      <c r="F674" s="5"/>
      <c r="G674" s="31">
        <f>IF($B674="","",IFERROR(INDEX(Settings!$B$41:$B$55,MATCH($B674,Settings!$A$41:$A$55,0)),"Check category"))</f>
      </c>
    </row>
    <row r="675" spans="1:7" x14ac:dyDescent="0.25">
      <c r="A675" s="22"/>
      <c r="B675" s="5"/>
      <c r="C675" s="5"/>
      <c r="D675" s="23"/>
      <c r="E675" s="5"/>
      <c r="F675" s="5"/>
      <c r="G675" s="31">
        <f>IF($B675="","",IFERROR(INDEX(Settings!$B$41:$B$55,MATCH($B675,Settings!$A$41:$A$55,0)),"Check category"))</f>
      </c>
    </row>
    <row r="676" spans="1:7" x14ac:dyDescent="0.25">
      <c r="A676" s="22"/>
      <c r="B676" s="5"/>
      <c r="C676" s="5"/>
      <c r="D676" s="23"/>
      <c r="E676" s="5"/>
      <c r="F676" s="5"/>
      <c r="G676" s="31">
        <f>IF($B676="","",IFERROR(INDEX(Settings!$B$41:$B$55,MATCH($B676,Settings!$A$41:$A$55,0)),"Check category"))</f>
      </c>
    </row>
    <row r="677" spans="1:7" x14ac:dyDescent="0.25">
      <c r="A677" s="22"/>
      <c r="B677" s="5"/>
      <c r="C677" s="5"/>
      <c r="D677" s="23"/>
      <c r="E677" s="5"/>
      <c r="F677" s="5"/>
      <c r="G677" s="31">
        <f>IF($B677="","",IFERROR(INDEX(Settings!$B$41:$B$55,MATCH($B677,Settings!$A$41:$A$55,0)),"Check category"))</f>
      </c>
    </row>
    <row r="678" spans="1:7" x14ac:dyDescent="0.25">
      <c r="A678" s="22"/>
      <c r="B678" s="5"/>
      <c r="C678" s="5"/>
      <c r="D678" s="23"/>
      <c r="E678" s="5"/>
      <c r="F678" s="5"/>
      <c r="G678" s="31">
        <f>IF($B678="","",IFERROR(INDEX(Settings!$B$41:$B$55,MATCH($B678,Settings!$A$41:$A$55,0)),"Check category"))</f>
      </c>
    </row>
    <row r="679" spans="1:7" x14ac:dyDescent="0.25">
      <c r="A679" s="22"/>
      <c r="B679" s="5"/>
      <c r="C679" s="5"/>
      <c r="D679" s="23"/>
      <c r="E679" s="5"/>
      <c r="F679" s="5"/>
      <c r="G679" s="31">
        <f>IF($B679="","",IFERROR(INDEX(Settings!$B$41:$B$55,MATCH($B679,Settings!$A$41:$A$55,0)),"Check category"))</f>
      </c>
    </row>
    <row r="680" spans="1:7" x14ac:dyDescent="0.25">
      <c r="A680" s="22"/>
      <c r="B680" s="5"/>
      <c r="C680" s="5"/>
      <c r="D680" s="23"/>
      <c r="E680" s="5"/>
      <c r="F680" s="5"/>
      <c r="G680" s="31">
        <f>IF($B680="","",IFERROR(INDEX(Settings!$B$41:$B$55,MATCH($B680,Settings!$A$41:$A$55,0)),"Check category"))</f>
      </c>
    </row>
    <row r="681" spans="1:7" x14ac:dyDescent="0.25">
      <c r="A681" s="22"/>
      <c r="B681" s="5"/>
      <c r="C681" s="5"/>
      <c r="D681" s="23"/>
      <c r="E681" s="5"/>
      <c r="F681" s="5"/>
      <c r="G681" s="31">
        <f>IF($B681="","",IFERROR(INDEX(Settings!$B$41:$B$55,MATCH($B681,Settings!$A$41:$A$55,0)),"Check category"))</f>
      </c>
    </row>
    <row r="682" spans="1:7" x14ac:dyDescent="0.25">
      <c r="A682" s="22"/>
      <c r="B682" s="5"/>
      <c r="C682" s="5"/>
      <c r="D682" s="23"/>
      <c r="E682" s="5"/>
      <c r="F682" s="5"/>
      <c r="G682" s="31">
        <f>IF($B682="","",IFERROR(INDEX(Settings!$B$41:$B$55,MATCH($B682,Settings!$A$41:$A$55,0)),"Check category"))</f>
      </c>
    </row>
    <row r="683" spans="1:7" x14ac:dyDescent="0.25">
      <c r="A683" s="22"/>
      <c r="B683" s="5"/>
      <c r="C683" s="5"/>
      <c r="D683" s="23"/>
      <c r="E683" s="5"/>
      <c r="F683" s="5"/>
      <c r="G683" s="31">
        <f>IF($B683="","",IFERROR(INDEX(Settings!$B$41:$B$55,MATCH($B683,Settings!$A$41:$A$55,0)),"Check category"))</f>
      </c>
    </row>
    <row r="684" spans="1:7" x14ac:dyDescent="0.25">
      <c r="A684" s="22"/>
      <c r="B684" s="5"/>
      <c r="C684" s="5"/>
      <c r="D684" s="23"/>
      <c r="E684" s="5"/>
      <c r="F684" s="5"/>
      <c r="G684" s="31">
        <f>IF($B684="","",IFERROR(INDEX(Settings!$B$41:$B$55,MATCH($B684,Settings!$A$41:$A$55,0)),"Check category"))</f>
      </c>
    </row>
    <row r="685" spans="1:7" x14ac:dyDescent="0.25">
      <c r="A685" s="22"/>
      <c r="B685" s="5"/>
      <c r="C685" s="5"/>
      <c r="D685" s="23"/>
      <c r="E685" s="5"/>
      <c r="F685" s="5"/>
      <c r="G685" s="31">
        <f>IF($B685="","",IFERROR(INDEX(Settings!$B$41:$B$55,MATCH($B685,Settings!$A$41:$A$55,0)),"Check category"))</f>
      </c>
    </row>
    <row r="686" spans="1:7" x14ac:dyDescent="0.25">
      <c r="A686" s="22"/>
      <c r="B686" s="5"/>
      <c r="C686" s="5"/>
      <c r="D686" s="23"/>
      <c r="E686" s="5"/>
      <c r="F686" s="5"/>
      <c r="G686" s="31">
        <f>IF($B686="","",IFERROR(INDEX(Settings!$B$41:$B$55,MATCH($B686,Settings!$A$41:$A$55,0)),"Check category"))</f>
      </c>
    </row>
    <row r="687" spans="1:7" x14ac:dyDescent="0.25">
      <c r="A687" s="22"/>
      <c r="B687" s="5"/>
      <c r="C687" s="5"/>
      <c r="D687" s="23"/>
      <c r="E687" s="5"/>
      <c r="F687" s="5"/>
      <c r="G687" s="31">
        <f>IF($B687="","",IFERROR(INDEX(Settings!$B$41:$B$55,MATCH($B687,Settings!$A$41:$A$55,0)),"Check category"))</f>
      </c>
    </row>
    <row r="688" spans="1:7" x14ac:dyDescent="0.25">
      <c r="A688" s="22"/>
      <c r="B688" s="5"/>
      <c r="C688" s="5"/>
      <c r="D688" s="23"/>
      <c r="E688" s="5"/>
      <c r="F688" s="5"/>
      <c r="G688" s="31">
        <f>IF($B688="","",IFERROR(INDEX(Settings!$B$41:$B$55,MATCH($B688,Settings!$A$41:$A$55,0)),"Check category"))</f>
      </c>
    </row>
    <row r="689" spans="1:7" x14ac:dyDescent="0.25">
      <c r="A689" s="22"/>
      <c r="B689" s="5"/>
      <c r="C689" s="5"/>
      <c r="D689" s="23"/>
      <c r="E689" s="5"/>
      <c r="F689" s="5"/>
      <c r="G689" s="31">
        <f>IF($B689="","",IFERROR(INDEX(Settings!$B$41:$B$55,MATCH($B689,Settings!$A$41:$A$55,0)),"Check category"))</f>
      </c>
    </row>
    <row r="690" spans="1:7" x14ac:dyDescent="0.25">
      <c r="A690" s="22"/>
      <c r="B690" s="5"/>
      <c r="C690" s="5"/>
      <c r="D690" s="23"/>
      <c r="E690" s="5"/>
      <c r="F690" s="5"/>
      <c r="G690" s="31">
        <f>IF($B690="","",IFERROR(INDEX(Settings!$B$41:$B$55,MATCH($B690,Settings!$A$41:$A$55,0)),"Check category"))</f>
      </c>
    </row>
    <row r="691" spans="1:7" x14ac:dyDescent="0.25">
      <c r="A691" s="22"/>
      <c r="B691" s="5"/>
      <c r="C691" s="5"/>
      <c r="D691" s="23"/>
      <c r="E691" s="5"/>
      <c r="F691" s="5"/>
      <c r="G691" s="31">
        <f>IF($B691="","",IFERROR(INDEX(Settings!$B$41:$B$55,MATCH($B691,Settings!$A$41:$A$55,0)),"Check category"))</f>
      </c>
    </row>
    <row r="692" spans="1:7" x14ac:dyDescent="0.25">
      <c r="A692" s="22"/>
      <c r="B692" s="5"/>
      <c r="C692" s="5"/>
      <c r="D692" s="23"/>
      <c r="E692" s="5"/>
      <c r="F692" s="5"/>
      <c r="G692" s="31">
        <f>IF($B692="","",IFERROR(INDEX(Settings!$B$41:$B$55,MATCH($B692,Settings!$A$41:$A$55,0)),"Check category"))</f>
      </c>
    </row>
    <row r="693" spans="1:7" x14ac:dyDescent="0.25">
      <c r="A693" s="22"/>
      <c r="B693" s="5"/>
      <c r="C693" s="5"/>
      <c r="D693" s="23"/>
      <c r="E693" s="5"/>
      <c r="F693" s="5"/>
      <c r="G693" s="31">
        <f>IF($B693="","",IFERROR(INDEX(Settings!$B$41:$B$55,MATCH($B693,Settings!$A$41:$A$55,0)),"Check category"))</f>
      </c>
    </row>
    <row r="694" spans="1:7" x14ac:dyDescent="0.25">
      <c r="A694" s="22"/>
      <c r="B694" s="5"/>
      <c r="C694" s="5"/>
      <c r="D694" s="23"/>
      <c r="E694" s="5"/>
      <c r="F694" s="5"/>
      <c r="G694" s="31">
        <f>IF($B694="","",IFERROR(INDEX(Settings!$B$41:$B$55,MATCH($B694,Settings!$A$41:$A$55,0)),"Check category"))</f>
      </c>
    </row>
    <row r="695" spans="1:7" x14ac:dyDescent="0.25">
      <c r="A695" s="22"/>
      <c r="B695" s="5"/>
      <c r="C695" s="5"/>
      <c r="D695" s="23"/>
      <c r="E695" s="5"/>
      <c r="F695" s="5"/>
      <c r="G695" s="31">
        <f>IF($B695="","",IFERROR(INDEX(Settings!$B$41:$B$55,MATCH($B695,Settings!$A$41:$A$55,0)),"Check category"))</f>
      </c>
    </row>
    <row r="696" spans="1:7" x14ac:dyDescent="0.25">
      <c r="A696" s="22"/>
      <c r="B696" s="5"/>
      <c r="C696" s="5"/>
      <c r="D696" s="23"/>
      <c r="E696" s="5"/>
      <c r="F696" s="5"/>
      <c r="G696" s="31">
        <f>IF($B696="","",IFERROR(INDEX(Settings!$B$41:$B$55,MATCH($B696,Settings!$A$41:$A$55,0)),"Check category"))</f>
      </c>
    </row>
    <row r="697" spans="1:7" x14ac:dyDescent="0.25">
      <c r="A697" s="22"/>
      <c r="B697" s="5"/>
      <c r="C697" s="5"/>
      <c r="D697" s="23"/>
      <c r="E697" s="5"/>
      <c r="F697" s="5"/>
      <c r="G697" s="31">
        <f>IF($B697="","",IFERROR(INDEX(Settings!$B$41:$B$55,MATCH($B697,Settings!$A$41:$A$55,0)),"Check category"))</f>
      </c>
    </row>
    <row r="698" spans="1:7" x14ac:dyDescent="0.25">
      <c r="A698" s="22"/>
      <c r="B698" s="5"/>
      <c r="C698" s="5"/>
      <c r="D698" s="23"/>
      <c r="E698" s="5"/>
      <c r="F698" s="5"/>
      <c r="G698" s="31">
        <f>IF($B698="","",IFERROR(INDEX(Settings!$B$41:$B$55,MATCH($B698,Settings!$A$41:$A$55,0)),"Check category"))</f>
      </c>
    </row>
    <row r="699" spans="1:7" x14ac:dyDescent="0.25">
      <c r="A699" s="22"/>
      <c r="B699" s="5"/>
      <c r="C699" s="5"/>
      <c r="D699" s="23"/>
      <c r="E699" s="5"/>
      <c r="F699" s="5"/>
      <c r="G699" s="31">
        <f>IF($B699="","",IFERROR(INDEX(Settings!$B$41:$B$55,MATCH($B699,Settings!$A$41:$A$55,0)),"Check category"))</f>
      </c>
    </row>
    <row r="700" spans="1:7" x14ac:dyDescent="0.25">
      <c r="A700" s="22"/>
      <c r="B700" s="5"/>
      <c r="C700" s="5"/>
      <c r="D700" s="23"/>
      <c r="E700" s="5"/>
      <c r="F700" s="5"/>
      <c r="G700" s="31">
        <f>IF($B700="","",IFERROR(INDEX(Settings!$B$41:$B$55,MATCH($B700,Settings!$A$41:$A$55,0)),"Check category"))</f>
      </c>
    </row>
    <row r="701" spans="1:7" x14ac:dyDescent="0.25">
      <c r="A701" s="22"/>
      <c r="B701" s="5"/>
      <c r="C701" s="5"/>
      <c r="D701" s="23"/>
      <c r="E701" s="5"/>
      <c r="F701" s="5"/>
      <c r="G701" s="31">
        <f>IF($B701="","",IFERROR(INDEX(Settings!$B$41:$B$55,MATCH($B701,Settings!$A$41:$A$55,0)),"Check category"))</f>
      </c>
    </row>
    <row r="702" spans="1:7" x14ac:dyDescent="0.25">
      <c r="A702" s="22"/>
      <c r="B702" s="5"/>
      <c r="C702" s="5"/>
      <c r="D702" s="23"/>
      <c r="E702" s="5"/>
      <c r="F702" s="5"/>
      <c r="G702" s="31">
        <f>IF($B702="","",IFERROR(INDEX(Settings!$B$41:$B$55,MATCH($B702,Settings!$A$41:$A$55,0)),"Check category"))</f>
      </c>
    </row>
    <row r="703" spans="1:7" x14ac:dyDescent="0.25">
      <c r="A703" s="22"/>
      <c r="B703" s="5"/>
      <c r="C703" s="5"/>
      <c r="D703" s="23"/>
      <c r="E703" s="5"/>
      <c r="F703" s="5"/>
      <c r="G703" s="31">
        <f>IF($B703="","",IFERROR(INDEX(Settings!$B$41:$B$55,MATCH($B703,Settings!$A$41:$A$55,0)),"Check category"))</f>
      </c>
    </row>
    <row r="704" spans="1:7" x14ac:dyDescent="0.25">
      <c r="A704" s="22"/>
      <c r="B704" s="5"/>
      <c r="C704" s="5"/>
      <c r="D704" s="23"/>
      <c r="E704" s="5"/>
      <c r="F704" s="5"/>
      <c r="G704" s="31">
        <f>IF($B704="","",IFERROR(INDEX(Settings!$B$41:$B$55,MATCH($B704,Settings!$A$41:$A$55,0)),"Check category"))</f>
      </c>
    </row>
    <row r="705" spans="1:7" x14ac:dyDescent="0.25">
      <c r="A705" s="22"/>
      <c r="B705" s="5"/>
      <c r="C705" s="5"/>
      <c r="D705" s="23"/>
      <c r="E705" s="5"/>
      <c r="F705" s="5"/>
      <c r="G705" s="31">
        <f>IF($B705="","",IFERROR(INDEX(Settings!$B$41:$B$55,MATCH($B705,Settings!$A$41:$A$55,0)),"Check category"))</f>
      </c>
    </row>
    <row r="706" spans="1:7" x14ac:dyDescent="0.25">
      <c r="A706" s="22"/>
      <c r="B706" s="5"/>
      <c r="C706" s="5"/>
      <c r="D706" s="23"/>
      <c r="E706" s="5"/>
      <c r="F706" s="5"/>
      <c r="G706" s="31">
        <f>IF($B706="","",IFERROR(INDEX(Settings!$B$41:$B$55,MATCH($B706,Settings!$A$41:$A$55,0)),"Check category"))</f>
      </c>
    </row>
    <row r="707" spans="1:7" x14ac:dyDescent="0.25">
      <c r="A707" s="22"/>
      <c r="B707" s="5"/>
      <c r="C707" s="5"/>
      <c r="D707" s="23"/>
      <c r="E707" s="5"/>
      <c r="F707" s="5"/>
      <c r="G707" s="31">
        <f>IF($B707="","",IFERROR(INDEX(Settings!$B$41:$B$55,MATCH($B707,Settings!$A$41:$A$55,0)),"Check category"))</f>
      </c>
    </row>
    <row r="708" spans="1:7" x14ac:dyDescent="0.25">
      <c r="A708" s="22"/>
      <c r="B708" s="5"/>
      <c r="C708" s="5"/>
      <c r="D708" s="23"/>
      <c r="E708" s="5"/>
      <c r="F708" s="5"/>
      <c r="G708" s="31">
        <f>IF($B708="","",IFERROR(INDEX(Settings!$B$41:$B$55,MATCH($B708,Settings!$A$41:$A$55,0)),"Check category"))</f>
      </c>
    </row>
    <row r="709" spans="1:7" x14ac:dyDescent="0.25">
      <c r="A709" s="22"/>
      <c r="B709" s="5"/>
      <c r="C709" s="5"/>
      <c r="D709" s="23"/>
      <c r="E709" s="5"/>
      <c r="F709" s="5"/>
      <c r="G709" s="31">
        <f>IF($B709="","",IFERROR(INDEX(Settings!$B$41:$B$55,MATCH($B709,Settings!$A$41:$A$55,0)),"Check category"))</f>
      </c>
    </row>
    <row r="710" spans="1:7" x14ac:dyDescent="0.25">
      <c r="A710" s="22"/>
      <c r="B710" s="5"/>
      <c r="C710" s="5"/>
      <c r="D710" s="23"/>
      <c r="E710" s="5"/>
      <c r="F710" s="5"/>
      <c r="G710" s="31">
        <f>IF($B710="","",IFERROR(INDEX(Settings!$B$41:$B$55,MATCH($B710,Settings!$A$41:$A$55,0)),"Check category"))</f>
      </c>
    </row>
    <row r="711" spans="1:7" x14ac:dyDescent="0.25">
      <c r="A711" s="22"/>
      <c r="B711" s="5"/>
      <c r="C711" s="5"/>
      <c r="D711" s="23"/>
      <c r="E711" s="5"/>
      <c r="F711" s="5"/>
      <c r="G711" s="31">
        <f>IF($B711="","",IFERROR(INDEX(Settings!$B$41:$B$55,MATCH($B711,Settings!$A$41:$A$55,0)),"Check category"))</f>
      </c>
    </row>
    <row r="712" spans="1:7" x14ac:dyDescent="0.25">
      <c r="A712" s="22"/>
      <c r="B712" s="5"/>
      <c r="C712" s="5"/>
      <c r="D712" s="23"/>
      <c r="E712" s="5"/>
      <c r="F712" s="5"/>
      <c r="G712" s="31">
        <f>IF($B712="","",IFERROR(INDEX(Settings!$B$41:$B$55,MATCH($B712,Settings!$A$41:$A$55,0)),"Check category"))</f>
      </c>
    </row>
    <row r="713" spans="1:7" x14ac:dyDescent="0.25">
      <c r="A713" s="22"/>
      <c r="B713" s="5"/>
      <c r="C713" s="5"/>
      <c r="D713" s="23"/>
      <c r="E713" s="5"/>
      <c r="F713" s="5"/>
      <c r="G713" s="31">
        <f>IF($B713="","",IFERROR(INDEX(Settings!$B$41:$B$55,MATCH($B713,Settings!$A$41:$A$55,0)),"Check category"))</f>
      </c>
    </row>
    <row r="714" spans="1:7" x14ac:dyDescent="0.25">
      <c r="A714" s="22"/>
      <c r="B714" s="5"/>
      <c r="C714" s="5"/>
      <c r="D714" s="23"/>
      <c r="E714" s="5"/>
      <c r="F714" s="5"/>
      <c r="G714" s="31">
        <f>IF($B714="","",IFERROR(INDEX(Settings!$B$41:$B$55,MATCH($B714,Settings!$A$41:$A$55,0)),"Check category"))</f>
      </c>
    </row>
    <row r="715" spans="1:7" x14ac:dyDescent="0.25">
      <c r="A715" s="22"/>
      <c r="B715" s="5"/>
      <c r="C715" s="5"/>
      <c r="D715" s="23"/>
      <c r="E715" s="5"/>
      <c r="F715" s="5"/>
      <c r="G715" s="31">
        <f>IF($B715="","",IFERROR(INDEX(Settings!$B$41:$B$55,MATCH($B715,Settings!$A$41:$A$55,0)),"Check category"))</f>
      </c>
    </row>
    <row r="716" spans="1:7" x14ac:dyDescent="0.25">
      <c r="A716" s="22"/>
      <c r="B716" s="5"/>
      <c r="C716" s="5"/>
      <c r="D716" s="23"/>
      <c r="E716" s="5"/>
      <c r="F716" s="5"/>
      <c r="G716" s="31">
        <f>IF($B716="","",IFERROR(INDEX(Settings!$B$41:$B$55,MATCH($B716,Settings!$A$41:$A$55,0)),"Check category"))</f>
      </c>
    </row>
    <row r="717" spans="1:7" x14ac:dyDescent="0.25">
      <c r="A717" s="22"/>
      <c r="B717" s="5"/>
      <c r="C717" s="5"/>
      <c r="D717" s="23"/>
      <c r="E717" s="5"/>
      <c r="F717" s="5"/>
      <c r="G717" s="31">
        <f>IF($B717="","",IFERROR(INDEX(Settings!$B$41:$B$55,MATCH($B717,Settings!$A$41:$A$55,0)),"Check category"))</f>
      </c>
    </row>
    <row r="718" spans="1:7" x14ac:dyDescent="0.25">
      <c r="A718" s="22"/>
      <c r="B718" s="5"/>
      <c r="C718" s="5"/>
      <c r="D718" s="23"/>
      <c r="E718" s="5"/>
      <c r="F718" s="5"/>
      <c r="G718" s="31">
        <f>IF($B718="","",IFERROR(INDEX(Settings!$B$41:$B$55,MATCH($B718,Settings!$A$41:$A$55,0)),"Check category"))</f>
      </c>
    </row>
    <row r="719" spans="1:7" x14ac:dyDescent="0.25">
      <c r="A719" s="22"/>
      <c r="B719" s="5"/>
      <c r="C719" s="5"/>
      <c r="D719" s="23"/>
      <c r="E719" s="5"/>
      <c r="F719" s="5"/>
      <c r="G719" s="31">
        <f>IF($B719="","",IFERROR(INDEX(Settings!$B$41:$B$55,MATCH($B719,Settings!$A$41:$A$55,0)),"Check category"))</f>
      </c>
    </row>
    <row r="720" spans="1:7" x14ac:dyDescent="0.25">
      <c r="A720" s="22"/>
      <c r="B720" s="5"/>
      <c r="C720" s="5"/>
      <c r="D720" s="23"/>
      <c r="E720" s="5"/>
      <c r="F720" s="5"/>
      <c r="G720" s="31">
        <f>IF($B720="","",IFERROR(INDEX(Settings!$B$41:$B$55,MATCH($B720,Settings!$A$41:$A$55,0)),"Check category"))</f>
      </c>
    </row>
    <row r="721" spans="1:7" x14ac:dyDescent="0.25">
      <c r="A721" s="22"/>
      <c r="B721" s="5"/>
      <c r="C721" s="5"/>
      <c r="D721" s="23"/>
      <c r="E721" s="5"/>
      <c r="F721" s="5"/>
      <c r="G721" s="31">
        <f>IF($B721="","",IFERROR(INDEX(Settings!$B$41:$B$55,MATCH($B721,Settings!$A$41:$A$55,0)),"Check category"))</f>
      </c>
    </row>
    <row r="722" spans="1:7" x14ac:dyDescent="0.25">
      <c r="A722" s="22"/>
      <c r="B722" s="5"/>
      <c r="C722" s="5"/>
      <c r="D722" s="23"/>
      <c r="E722" s="5"/>
      <c r="F722" s="5"/>
      <c r="G722" s="31">
        <f>IF($B722="","",IFERROR(INDEX(Settings!$B$41:$B$55,MATCH($B722,Settings!$A$41:$A$55,0)),"Check category"))</f>
      </c>
    </row>
    <row r="723" spans="1:7" x14ac:dyDescent="0.25">
      <c r="A723" s="22"/>
      <c r="B723" s="5"/>
      <c r="C723" s="5"/>
      <c r="D723" s="23"/>
      <c r="E723" s="5"/>
      <c r="F723" s="5"/>
      <c r="G723" s="31">
        <f>IF($B723="","",IFERROR(INDEX(Settings!$B$41:$B$55,MATCH($B723,Settings!$A$41:$A$55,0)),"Check category"))</f>
      </c>
    </row>
    <row r="724" spans="1:7" x14ac:dyDescent="0.25">
      <c r="A724" s="22"/>
      <c r="B724" s="5"/>
      <c r="C724" s="5"/>
      <c r="D724" s="23"/>
      <c r="E724" s="5"/>
      <c r="F724" s="5"/>
      <c r="G724" s="31">
        <f>IF($B724="","",IFERROR(INDEX(Settings!$B$41:$B$55,MATCH($B724,Settings!$A$41:$A$55,0)),"Check category"))</f>
      </c>
    </row>
    <row r="725" spans="1:7" x14ac:dyDescent="0.25">
      <c r="A725" s="22"/>
      <c r="B725" s="5"/>
      <c r="C725" s="5"/>
      <c r="D725" s="23"/>
      <c r="E725" s="5"/>
      <c r="F725" s="5"/>
      <c r="G725" s="31">
        <f>IF($B725="","",IFERROR(INDEX(Settings!$B$41:$B$55,MATCH($B725,Settings!$A$41:$A$55,0)),"Check category"))</f>
      </c>
    </row>
    <row r="726" spans="1:7" x14ac:dyDescent="0.25">
      <c r="A726" s="22"/>
      <c r="B726" s="5"/>
      <c r="C726" s="5"/>
      <c r="D726" s="23"/>
      <c r="E726" s="5"/>
      <c r="F726" s="5"/>
      <c r="G726" s="31">
        <f>IF($B726="","",IFERROR(INDEX(Settings!$B$41:$B$55,MATCH($B726,Settings!$A$41:$A$55,0)),"Check category"))</f>
      </c>
    </row>
    <row r="727" spans="1:7" x14ac:dyDescent="0.25">
      <c r="A727" s="22"/>
      <c r="B727" s="5"/>
      <c r="C727" s="5"/>
      <c r="D727" s="23"/>
      <c r="E727" s="5"/>
      <c r="F727" s="5"/>
      <c r="G727" s="31">
        <f>IF($B727="","",IFERROR(INDEX(Settings!$B$41:$B$55,MATCH($B727,Settings!$A$41:$A$55,0)),"Check category"))</f>
      </c>
    </row>
    <row r="728" spans="1:7" x14ac:dyDescent="0.25">
      <c r="A728" s="22"/>
      <c r="B728" s="5"/>
      <c r="C728" s="5"/>
      <c r="D728" s="23"/>
      <c r="E728" s="5"/>
      <c r="F728" s="5"/>
      <c r="G728" s="31">
        <f>IF($B728="","",IFERROR(INDEX(Settings!$B$41:$B$55,MATCH($B728,Settings!$A$41:$A$55,0)),"Check category"))</f>
      </c>
    </row>
    <row r="729" spans="1:7" x14ac:dyDescent="0.25">
      <c r="A729" s="22"/>
      <c r="B729" s="5"/>
      <c r="C729" s="5"/>
      <c r="D729" s="23"/>
      <c r="E729" s="5"/>
      <c r="F729" s="5"/>
      <c r="G729" s="31">
        <f>IF($B729="","",IFERROR(INDEX(Settings!$B$41:$B$55,MATCH($B729,Settings!$A$41:$A$55,0)),"Check category"))</f>
      </c>
    </row>
    <row r="730" spans="1:7" x14ac:dyDescent="0.25">
      <c r="A730" s="22"/>
      <c r="B730" s="5"/>
      <c r="C730" s="5"/>
      <c r="D730" s="23"/>
      <c r="E730" s="5"/>
      <c r="F730" s="5"/>
      <c r="G730" s="31">
        <f>IF($B730="","",IFERROR(INDEX(Settings!$B$41:$B$55,MATCH($B730,Settings!$A$41:$A$55,0)),"Check category"))</f>
      </c>
    </row>
    <row r="731" spans="1:7" x14ac:dyDescent="0.25">
      <c r="A731" s="22"/>
      <c r="B731" s="5"/>
      <c r="C731" s="5"/>
      <c r="D731" s="23"/>
      <c r="E731" s="5"/>
      <c r="F731" s="5"/>
      <c r="G731" s="31">
        <f>IF($B731="","",IFERROR(INDEX(Settings!$B$41:$B$55,MATCH($B731,Settings!$A$41:$A$55,0)),"Check category"))</f>
      </c>
    </row>
    <row r="732" spans="1:7" x14ac:dyDescent="0.25">
      <c r="A732" s="22"/>
      <c r="B732" s="5"/>
      <c r="C732" s="5"/>
      <c r="D732" s="23"/>
      <c r="E732" s="5"/>
      <c r="F732" s="5"/>
      <c r="G732" s="31">
        <f>IF($B732="","",IFERROR(INDEX(Settings!$B$41:$B$55,MATCH($B732,Settings!$A$41:$A$55,0)),"Check category"))</f>
      </c>
    </row>
    <row r="733" spans="1:7" x14ac:dyDescent="0.25">
      <c r="A733" s="22"/>
      <c r="B733" s="5"/>
      <c r="C733" s="5"/>
      <c r="D733" s="23"/>
      <c r="E733" s="5"/>
      <c r="F733" s="5"/>
      <c r="G733" s="31">
        <f>IF($B733="","",IFERROR(INDEX(Settings!$B$41:$B$55,MATCH($B733,Settings!$A$41:$A$55,0)),"Check category"))</f>
      </c>
    </row>
    <row r="734" spans="1:7" x14ac:dyDescent="0.25">
      <c r="A734" s="22"/>
      <c r="B734" s="5"/>
      <c r="C734" s="5"/>
      <c r="D734" s="23"/>
      <c r="E734" s="5"/>
      <c r="F734" s="5"/>
      <c r="G734" s="31">
        <f>IF($B734="","",IFERROR(INDEX(Settings!$B$41:$B$55,MATCH($B734,Settings!$A$41:$A$55,0)),"Check category"))</f>
      </c>
    </row>
    <row r="735" spans="1:7" x14ac:dyDescent="0.25">
      <c r="A735" s="22"/>
      <c r="B735" s="5"/>
      <c r="C735" s="5"/>
      <c r="D735" s="23"/>
      <c r="E735" s="5"/>
      <c r="F735" s="5"/>
      <c r="G735" s="31">
        <f>IF($B735="","",IFERROR(INDEX(Settings!$B$41:$B$55,MATCH($B735,Settings!$A$41:$A$55,0)),"Check category"))</f>
      </c>
    </row>
    <row r="736" spans="1:7" x14ac:dyDescent="0.25">
      <c r="A736" s="22"/>
      <c r="B736" s="5"/>
      <c r="C736" s="5"/>
      <c r="D736" s="23"/>
      <c r="E736" s="5"/>
      <c r="F736" s="5"/>
      <c r="G736" s="31">
        <f>IF($B736="","",IFERROR(INDEX(Settings!$B$41:$B$55,MATCH($B736,Settings!$A$41:$A$55,0)),"Check category"))</f>
      </c>
    </row>
    <row r="737" spans="1:7" x14ac:dyDescent="0.25">
      <c r="A737" s="22"/>
      <c r="B737" s="5"/>
      <c r="C737" s="5"/>
      <c r="D737" s="23"/>
      <c r="E737" s="5"/>
      <c r="F737" s="5"/>
      <c r="G737" s="31">
        <f>IF($B737="","",IFERROR(INDEX(Settings!$B$41:$B$55,MATCH($B737,Settings!$A$41:$A$55,0)),"Check category"))</f>
      </c>
    </row>
    <row r="738" spans="1:7" x14ac:dyDescent="0.25">
      <c r="A738" s="22"/>
      <c r="B738" s="5"/>
      <c r="C738" s="5"/>
      <c r="D738" s="23"/>
      <c r="E738" s="5"/>
      <c r="F738" s="5"/>
      <c r="G738" s="31">
        <f>IF($B738="","",IFERROR(INDEX(Settings!$B$41:$B$55,MATCH($B738,Settings!$A$41:$A$55,0)),"Check category"))</f>
      </c>
    </row>
    <row r="739" spans="1:7" x14ac:dyDescent="0.25">
      <c r="A739" s="22"/>
      <c r="B739" s="5"/>
      <c r="C739" s="5"/>
      <c r="D739" s="23"/>
      <c r="E739" s="5"/>
      <c r="F739" s="5"/>
      <c r="G739" s="31">
        <f>IF($B739="","",IFERROR(INDEX(Settings!$B$41:$B$55,MATCH($B739,Settings!$A$41:$A$55,0)),"Check category"))</f>
      </c>
    </row>
    <row r="740" spans="1:7" x14ac:dyDescent="0.25">
      <c r="A740" s="22"/>
      <c r="B740" s="5"/>
      <c r="C740" s="5"/>
      <c r="D740" s="23"/>
      <c r="E740" s="5"/>
      <c r="F740" s="5"/>
      <c r="G740" s="31">
        <f>IF($B740="","",IFERROR(INDEX(Settings!$B$41:$B$55,MATCH($B740,Settings!$A$41:$A$55,0)),"Check category"))</f>
      </c>
    </row>
    <row r="741" spans="1:7" x14ac:dyDescent="0.25">
      <c r="A741" s="22"/>
      <c r="B741" s="5"/>
      <c r="C741" s="5"/>
      <c r="D741" s="23"/>
      <c r="E741" s="5"/>
      <c r="F741" s="5"/>
      <c r="G741" s="31">
        <f>IF($B741="","",IFERROR(INDEX(Settings!$B$41:$B$55,MATCH($B741,Settings!$A$41:$A$55,0)),"Check category"))</f>
      </c>
    </row>
    <row r="742" spans="1:7" x14ac:dyDescent="0.25">
      <c r="A742" s="22"/>
      <c r="B742" s="5"/>
      <c r="C742" s="5"/>
      <c r="D742" s="23"/>
      <c r="E742" s="5"/>
      <c r="F742" s="5"/>
      <c r="G742" s="31">
        <f>IF($B742="","",IFERROR(INDEX(Settings!$B$41:$B$55,MATCH($B742,Settings!$A$41:$A$55,0)),"Check category"))</f>
      </c>
    </row>
    <row r="743" spans="1:7" x14ac:dyDescent="0.25">
      <c r="A743" s="22"/>
      <c r="B743" s="5"/>
      <c r="C743" s="5"/>
      <c r="D743" s="23"/>
      <c r="E743" s="5"/>
      <c r="F743" s="5"/>
      <c r="G743" s="31">
        <f>IF($B743="","",IFERROR(INDEX(Settings!$B$41:$B$55,MATCH($B743,Settings!$A$41:$A$55,0)),"Check category"))</f>
      </c>
    </row>
    <row r="744" spans="1:7" x14ac:dyDescent="0.25">
      <c r="A744" s="22"/>
      <c r="B744" s="5"/>
      <c r="C744" s="5"/>
      <c r="D744" s="23"/>
      <c r="E744" s="5"/>
      <c r="F744" s="5"/>
      <c r="G744" s="31">
        <f>IF($B744="","",IFERROR(INDEX(Settings!$B$41:$B$55,MATCH($B744,Settings!$A$41:$A$55,0)),"Check category"))</f>
      </c>
    </row>
    <row r="745" spans="1:7" x14ac:dyDescent="0.25">
      <c r="A745" s="22"/>
      <c r="B745" s="5"/>
      <c r="C745" s="5"/>
      <c r="D745" s="23"/>
      <c r="E745" s="5"/>
      <c r="F745" s="5"/>
      <c r="G745" s="31">
        <f>IF($B745="","",IFERROR(INDEX(Settings!$B$41:$B$55,MATCH($B745,Settings!$A$41:$A$55,0)),"Check category"))</f>
      </c>
    </row>
    <row r="746" spans="1:7" x14ac:dyDescent="0.25">
      <c r="A746" s="22"/>
      <c r="B746" s="5"/>
      <c r="C746" s="5"/>
      <c r="D746" s="23"/>
      <c r="E746" s="5"/>
      <c r="F746" s="5"/>
      <c r="G746" s="31">
        <f>IF($B746="","",IFERROR(INDEX(Settings!$B$41:$B$55,MATCH($B746,Settings!$A$41:$A$55,0)),"Check category"))</f>
      </c>
    </row>
    <row r="747" spans="1:7" x14ac:dyDescent="0.25">
      <c r="A747" s="22"/>
      <c r="B747" s="5"/>
      <c r="C747" s="5"/>
      <c r="D747" s="23"/>
      <c r="E747" s="5"/>
      <c r="F747" s="5"/>
      <c r="G747" s="31">
        <f>IF($B747="","",IFERROR(INDEX(Settings!$B$41:$B$55,MATCH($B747,Settings!$A$41:$A$55,0)),"Check category"))</f>
      </c>
    </row>
    <row r="748" spans="1:7" x14ac:dyDescent="0.25">
      <c r="A748" s="22"/>
      <c r="B748" s="5"/>
      <c r="C748" s="5"/>
      <c r="D748" s="23"/>
      <c r="E748" s="5"/>
      <c r="F748" s="5"/>
      <c r="G748" s="31">
        <f>IF($B748="","",IFERROR(INDEX(Settings!$B$41:$B$55,MATCH($B748,Settings!$A$41:$A$55,0)),"Check category"))</f>
      </c>
    </row>
    <row r="749" spans="1:7" x14ac:dyDescent="0.25">
      <c r="A749" s="22"/>
      <c r="B749" s="5"/>
      <c r="C749" s="5"/>
      <c r="D749" s="23"/>
      <c r="E749" s="5"/>
      <c r="F749" s="5"/>
      <c r="G749" s="31">
        <f>IF($B749="","",IFERROR(INDEX(Settings!$B$41:$B$55,MATCH($B749,Settings!$A$41:$A$55,0)),"Check category"))</f>
      </c>
    </row>
    <row r="750" spans="1:7" x14ac:dyDescent="0.25">
      <c r="A750" s="22"/>
      <c r="B750" s="5"/>
      <c r="C750" s="5"/>
      <c r="D750" s="23"/>
      <c r="E750" s="5"/>
      <c r="F750" s="5"/>
      <c r="G750" s="31">
        <f>IF($B750="","",IFERROR(INDEX(Settings!$B$41:$B$55,MATCH($B750,Settings!$A$41:$A$55,0)),"Check category"))</f>
      </c>
    </row>
    <row r="751" spans="1:7" x14ac:dyDescent="0.25">
      <c r="A751" s="22"/>
      <c r="B751" s="5"/>
      <c r="C751" s="5"/>
      <c r="D751" s="23"/>
      <c r="E751" s="5"/>
      <c r="F751" s="5"/>
      <c r="G751" s="31">
        <f>IF($B751="","",IFERROR(INDEX(Settings!$B$41:$B$55,MATCH($B751,Settings!$A$41:$A$55,0)),"Check category"))</f>
      </c>
    </row>
    <row r="752" spans="1:7" x14ac:dyDescent="0.25">
      <c r="A752" s="22"/>
      <c r="B752" s="5"/>
      <c r="C752" s="5"/>
      <c r="D752" s="23"/>
      <c r="E752" s="5"/>
      <c r="F752" s="5"/>
      <c r="G752" s="31">
        <f>IF($B752="","",IFERROR(INDEX(Settings!$B$41:$B$55,MATCH($B752,Settings!$A$41:$A$55,0)),"Check category"))</f>
      </c>
    </row>
    <row r="753" spans="1:7" x14ac:dyDescent="0.25">
      <c r="A753" s="22"/>
      <c r="B753" s="5"/>
      <c r="C753" s="5"/>
      <c r="D753" s="23"/>
      <c r="E753" s="5"/>
      <c r="F753" s="5"/>
      <c r="G753" s="31">
        <f>IF($B753="","",IFERROR(INDEX(Settings!$B$41:$B$55,MATCH($B753,Settings!$A$41:$A$55,0)),"Check category"))</f>
      </c>
    </row>
    <row r="754" spans="1:7" x14ac:dyDescent="0.25">
      <c r="A754" s="22"/>
      <c r="B754" s="5"/>
      <c r="C754" s="5"/>
      <c r="D754" s="23"/>
      <c r="E754" s="5"/>
      <c r="F754" s="5"/>
      <c r="G754" s="31">
        <f>IF($B754="","",IFERROR(INDEX(Settings!$B$41:$B$55,MATCH($B754,Settings!$A$41:$A$55,0)),"Check category"))</f>
      </c>
    </row>
    <row r="755" spans="1:7" x14ac:dyDescent="0.25">
      <c r="A755" s="22"/>
      <c r="B755" s="5"/>
      <c r="C755" s="5"/>
      <c r="D755" s="23"/>
      <c r="E755" s="5"/>
      <c r="F755" s="5"/>
      <c r="G755" s="31">
        <f>IF($B755="","",IFERROR(INDEX(Settings!$B$41:$B$55,MATCH($B755,Settings!$A$41:$A$55,0)),"Check category"))</f>
      </c>
    </row>
    <row r="756" spans="1:7" x14ac:dyDescent="0.25">
      <c r="A756" s="22"/>
      <c r="B756" s="5"/>
      <c r="C756" s="5"/>
      <c r="D756" s="23"/>
      <c r="E756" s="5"/>
      <c r="F756" s="5"/>
      <c r="G756" s="31">
        <f>IF($B756="","",IFERROR(INDEX(Settings!$B$41:$B$55,MATCH($B756,Settings!$A$41:$A$55,0)),"Check category"))</f>
      </c>
    </row>
    <row r="757" spans="1:7" x14ac:dyDescent="0.25">
      <c r="A757" s="22"/>
      <c r="B757" s="5"/>
      <c r="C757" s="5"/>
      <c r="D757" s="23"/>
      <c r="E757" s="5"/>
      <c r="F757" s="5"/>
      <c r="G757" s="31">
        <f>IF($B757="","",IFERROR(INDEX(Settings!$B$41:$B$55,MATCH($B757,Settings!$A$41:$A$55,0)),"Check category"))</f>
      </c>
    </row>
    <row r="758" spans="1:7" x14ac:dyDescent="0.25">
      <c r="A758" s="22"/>
      <c r="B758" s="5"/>
      <c r="C758" s="5"/>
      <c r="D758" s="23"/>
      <c r="E758" s="5"/>
      <c r="F758" s="5"/>
      <c r="G758" s="31">
        <f>IF($B758="","",IFERROR(INDEX(Settings!$B$41:$B$55,MATCH($B758,Settings!$A$41:$A$55,0)),"Check category"))</f>
      </c>
    </row>
    <row r="759" spans="1:7" x14ac:dyDescent="0.25">
      <c r="A759" s="22"/>
      <c r="B759" s="5"/>
      <c r="C759" s="5"/>
      <c r="D759" s="23"/>
      <c r="E759" s="5"/>
      <c r="F759" s="5"/>
      <c r="G759" s="31">
        <f>IF($B759="","",IFERROR(INDEX(Settings!$B$41:$B$55,MATCH($B759,Settings!$A$41:$A$55,0)),"Check category"))</f>
      </c>
    </row>
    <row r="760" spans="1:7" x14ac:dyDescent="0.25">
      <c r="A760" s="22"/>
      <c r="B760" s="5"/>
      <c r="C760" s="5"/>
      <c r="D760" s="23"/>
      <c r="E760" s="5"/>
      <c r="F760" s="5"/>
      <c r="G760" s="31">
        <f>IF($B760="","",IFERROR(INDEX(Settings!$B$41:$B$55,MATCH($B760,Settings!$A$41:$A$55,0)),"Check category"))</f>
      </c>
    </row>
    <row r="761" spans="1:7" x14ac:dyDescent="0.25">
      <c r="A761" s="22"/>
      <c r="B761" s="5"/>
      <c r="C761" s="5"/>
      <c r="D761" s="23"/>
      <c r="E761" s="5"/>
      <c r="F761" s="5"/>
      <c r="G761" s="31">
        <f>IF($B761="","",IFERROR(INDEX(Settings!$B$41:$B$55,MATCH($B761,Settings!$A$41:$A$55,0)),"Check category"))</f>
      </c>
    </row>
    <row r="762" spans="1:7" x14ac:dyDescent="0.25">
      <c r="A762" s="22"/>
      <c r="B762" s="5"/>
      <c r="C762" s="5"/>
      <c r="D762" s="23"/>
      <c r="E762" s="5"/>
      <c r="F762" s="5"/>
      <c r="G762" s="31">
        <f>IF($B762="","",IFERROR(INDEX(Settings!$B$41:$B$55,MATCH($B762,Settings!$A$41:$A$55,0)),"Check category"))</f>
      </c>
    </row>
    <row r="763" spans="1:7" x14ac:dyDescent="0.25">
      <c r="A763" s="22"/>
      <c r="B763" s="5"/>
      <c r="C763" s="5"/>
      <c r="D763" s="23"/>
      <c r="E763" s="5"/>
      <c r="F763" s="5"/>
      <c r="G763" s="31">
        <f>IF($B763="","",IFERROR(INDEX(Settings!$B$41:$B$55,MATCH($B763,Settings!$A$41:$A$55,0)),"Check category"))</f>
      </c>
    </row>
    <row r="764" spans="1:7" x14ac:dyDescent="0.25">
      <c r="A764" s="22"/>
      <c r="B764" s="5"/>
      <c r="C764" s="5"/>
      <c r="D764" s="23"/>
      <c r="E764" s="5"/>
      <c r="F764" s="5"/>
      <c r="G764" s="31">
        <f>IF($B764="","",IFERROR(INDEX(Settings!$B$41:$B$55,MATCH($B764,Settings!$A$41:$A$55,0)),"Check category"))</f>
      </c>
    </row>
    <row r="765" spans="1:7" x14ac:dyDescent="0.25">
      <c r="A765" s="22"/>
      <c r="B765" s="5"/>
      <c r="C765" s="5"/>
      <c r="D765" s="23"/>
      <c r="E765" s="5"/>
      <c r="F765" s="5"/>
      <c r="G765" s="31">
        <f>IF($B765="","",IFERROR(INDEX(Settings!$B$41:$B$55,MATCH($B765,Settings!$A$41:$A$55,0)),"Check category"))</f>
      </c>
    </row>
    <row r="766" spans="1:7" x14ac:dyDescent="0.25">
      <c r="A766" s="22"/>
      <c r="B766" s="5"/>
      <c r="C766" s="5"/>
      <c r="D766" s="23"/>
      <c r="E766" s="5"/>
      <c r="F766" s="5"/>
      <c r="G766" s="31">
        <f>IF($B766="","",IFERROR(INDEX(Settings!$B$41:$B$55,MATCH($B766,Settings!$A$41:$A$55,0)),"Check category"))</f>
      </c>
    </row>
    <row r="767" spans="1:7" x14ac:dyDescent="0.25">
      <c r="A767" s="22"/>
      <c r="B767" s="5"/>
      <c r="C767" s="5"/>
      <c r="D767" s="23"/>
      <c r="E767" s="5"/>
      <c r="F767" s="5"/>
      <c r="G767" s="31">
        <f>IF($B767="","",IFERROR(INDEX(Settings!$B$41:$B$55,MATCH($B767,Settings!$A$41:$A$55,0)),"Check category"))</f>
      </c>
    </row>
    <row r="768" spans="1:7" x14ac:dyDescent="0.25">
      <c r="A768" s="22"/>
      <c r="B768" s="5"/>
      <c r="C768" s="5"/>
      <c r="D768" s="23"/>
      <c r="E768" s="5"/>
      <c r="F768" s="5"/>
      <c r="G768" s="31">
        <f>IF($B768="","",IFERROR(INDEX(Settings!$B$41:$B$55,MATCH($B768,Settings!$A$41:$A$55,0)),"Check category"))</f>
      </c>
    </row>
    <row r="769" spans="1:7" x14ac:dyDescent="0.25">
      <c r="A769" s="22"/>
      <c r="B769" s="5"/>
      <c r="C769" s="5"/>
      <c r="D769" s="23"/>
      <c r="E769" s="5"/>
      <c r="F769" s="5"/>
      <c r="G769" s="31">
        <f>IF($B769="","",IFERROR(INDEX(Settings!$B$41:$B$55,MATCH($B769,Settings!$A$41:$A$55,0)),"Check category"))</f>
      </c>
    </row>
    <row r="770" spans="1:7" x14ac:dyDescent="0.25">
      <c r="A770" s="22"/>
      <c r="B770" s="5"/>
      <c r="C770" s="5"/>
      <c r="D770" s="23"/>
      <c r="E770" s="5"/>
      <c r="F770" s="5"/>
      <c r="G770" s="31">
        <f>IF($B770="","",IFERROR(INDEX(Settings!$B$41:$B$55,MATCH($B770,Settings!$A$41:$A$55,0)),"Check category"))</f>
      </c>
    </row>
    <row r="771" spans="1:7" x14ac:dyDescent="0.25">
      <c r="A771" s="22"/>
      <c r="B771" s="5"/>
      <c r="C771" s="5"/>
      <c r="D771" s="23"/>
      <c r="E771" s="5"/>
      <c r="F771" s="5"/>
      <c r="G771" s="31">
        <f>IF($B771="","",IFERROR(INDEX(Settings!$B$41:$B$55,MATCH($B771,Settings!$A$41:$A$55,0)),"Check category"))</f>
      </c>
    </row>
    <row r="772" spans="1:7" x14ac:dyDescent="0.25">
      <c r="A772" s="22"/>
      <c r="B772" s="5"/>
      <c r="C772" s="5"/>
      <c r="D772" s="23"/>
      <c r="E772" s="5"/>
      <c r="F772" s="5"/>
      <c r="G772" s="31">
        <f>IF($B772="","",IFERROR(INDEX(Settings!$B$41:$B$55,MATCH($B772,Settings!$A$41:$A$55,0)),"Check category"))</f>
      </c>
    </row>
    <row r="773" spans="1:7" x14ac:dyDescent="0.25">
      <c r="A773" s="22"/>
      <c r="B773" s="5"/>
      <c r="C773" s="5"/>
      <c r="D773" s="23"/>
      <c r="E773" s="5"/>
      <c r="F773" s="5"/>
      <c r="G773" s="31">
        <f>IF($B773="","",IFERROR(INDEX(Settings!$B$41:$B$55,MATCH($B773,Settings!$A$41:$A$55,0)),"Check category"))</f>
      </c>
    </row>
    <row r="774" spans="1:7" x14ac:dyDescent="0.25">
      <c r="A774" s="22"/>
      <c r="B774" s="5"/>
      <c r="C774" s="5"/>
      <c r="D774" s="23"/>
      <c r="E774" s="5"/>
      <c r="F774" s="5"/>
      <c r="G774" s="31">
        <f>IF($B774="","",IFERROR(INDEX(Settings!$B$41:$B$55,MATCH($B774,Settings!$A$41:$A$55,0)),"Check category"))</f>
      </c>
    </row>
    <row r="775" spans="1:7" x14ac:dyDescent="0.25">
      <c r="A775" s="22"/>
      <c r="B775" s="5"/>
      <c r="C775" s="5"/>
      <c r="D775" s="23"/>
      <c r="E775" s="5"/>
      <c r="F775" s="5"/>
      <c r="G775" s="31">
        <f>IF($B775="","",IFERROR(INDEX(Settings!$B$41:$B$55,MATCH($B775,Settings!$A$41:$A$55,0)),"Check category"))</f>
      </c>
    </row>
    <row r="776" spans="1:7" x14ac:dyDescent="0.25">
      <c r="A776" s="22"/>
      <c r="B776" s="5"/>
      <c r="C776" s="5"/>
      <c r="D776" s="23"/>
      <c r="E776" s="5"/>
      <c r="F776" s="5"/>
      <c r="G776" s="31">
        <f>IF($B776="","",IFERROR(INDEX(Settings!$B$41:$B$55,MATCH($B776,Settings!$A$41:$A$55,0)),"Check category"))</f>
      </c>
    </row>
    <row r="777" spans="1:7" x14ac:dyDescent="0.25">
      <c r="A777" s="22"/>
      <c r="B777" s="5"/>
      <c r="C777" s="5"/>
      <c r="D777" s="23"/>
      <c r="E777" s="5"/>
      <c r="F777" s="5"/>
      <c r="G777" s="31">
        <f>IF($B777="","",IFERROR(INDEX(Settings!$B$41:$B$55,MATCH($B777,Settings!$A$41:$A$55,0)),"Check category"))</f>
      </c>
    </row>
    <row r="778" spans="1:7" x14ac:dyDescent="0.25">
      <c r="A778" s="22"/>
      <c r="B778" s="5"/>
      <c r="C778" s="5"/>
      <c r="D778" s="23"/>
      <c r="E778" s="5"/>
      <c r="F778" s="5"/>
      <c r="G778" s="31">
        <f>IF($B778="","",IFERROR(INDEX(Settings!$B$41:$B$55,MATCH($B778,Settings!$A$41:$A$55,0)),"Check category"))</f>
      </c>
    </row>
    <row r="779" spans="1:7" x14ac:dyDescent="0.25">
      <c r="A779" s="22"/>
      <c r="B779" s="5"/>
      <c r="C779" s="5"/>
      <c r="D779" s="23"/>
      <c r="E779" s="5"/>
      <c r="F779" s="5"/>
      <c r="G779" s="31">
        <f>IF($B779="","",IFERROR(INDEX(Settings!$B$41:$B$55,MATCH($B779,Settings!$A$41:$A$55,0)),"Check category"))</f>
      </c>
    </row>
    <row r="780" spans="1:7" x14ac:dyDescent="0.25">
      <c r="A780" s="22"/>
      <c r="B780" s="5"/>
      <c r="C780" s="5"/>
      <c r="D780" s="23"/>
      <c r="E780" s="5"/>
      <c r="F780" s="5"/>
      <c r="G780" s="31">
        <f>IF($B780="","",IFERROR(INDEX(Settings!$B$41:$B$55,MATCH($B780,Settings!$A$41:$A$55,0)),"Check category"))</f>
      </c>
    </row>
    <row r="781" spans="1:7" x14ac:dyDescent="0.25">
      <c r="A781" s="22"/>
      <c r="B781" s="5"/>
      <c r="C781" s="5"/>
      <c r="D781" s="23"/>
      <c r="E781" s="5"/>
      <c r="F781" s="5"/>
      <c r="G781" s="31">
        <f>IF($B781="","",IFERROR(INDEX(Settings!$B$41:$B$55,MATCH($B781,Settings!$A$41:$A$55,0)),"Check category"))</f>
      </c>
    </row>
    <row r="782" spans="1:7" x14ac:dyDescent="0.25">
      <c r="A782" s="22"/>
      <c r="B782" s="5"/>
      <c r="C782" s="5"/>
      <c r="D782" s="23"/>
      <c r="E782" s="5"/>
      <c r="F782" s="5"/>
      <c r="G782" s="31">
        <f>IF($B782="","",IFERROR(INDEX(Settings!$B$41:$B$55,MATCH($B782,Settings!$A$41:$A$55,0)),"Check category"))</f>
      </c>
    </row>
    <row r="783" spans="1:7" x14ac:dyDescent="0.25">
      <c r="A783" s="22"/>
      <c r="B783" s="5"/>
      <c r="C783" s="5"/>
      <c r="D783" s="23"/>
      <c r="E783" s="5"/>
      <c r="F783" s="5"/>
      <c r="G783" s="31">
        <f>IF($B783="","",IFERROR(INDEX(Settings!$B$41:$B$55,MATCH($B783,Settings!$A$41:$A$55,0)),"Check category"))</f>
      </c>
    </row>
    <row r="784" spans="1:7" x14ac:dyDescent="0.25">
      <c r="A784" s="22"/>
      <c r="B784" s="5"/>
      <c r="C784" s="5"/>
      <c r="D784" s="23"/>
      <c r="E784" s="5"/>
      <c r="F784" s="5"/>
      <c r="G784" s="31">
        <f>IF($B784="","",IFERROR(INDEX(Settings!$B$41:$B$55,MATCH($B784,Settings!$A$41:$A$55,0)),"Check category"))</f>
      </c>
    </row>
    <row r="785" spans="1:7" x14ac:dyDescent="0.25">
      <c r="A785" s="22"/>
      <c r="B785" s="5"/>
      <c r="C785" s="5"/>
      <c r="D785" s="23"/>
      <c r="E785" s="5"/>
      <c r="F785" s="5"/>
      <c r="G785" s="31">
        <f>IF($B785="","",IFERROR(INDEX(Settings!$B$41:$B$55,MATCH($B785,Settings!$A$41:$A$55,0)),"Check category"))</f>
      </c>
    </row>
    <row r="786" spans="1:7" x14ac:dyDescent="0.25">
      <c r="A786" s="22"/>
      <c r="B786" s="5"/>
      <c r="C786" s="5"/>
      <c r="D786" s="23"/>
      <c r="E786" s="5"/>
      <c r="F786" s="5"/>
      <c r="G786" s="31">
        <f>IF($B786="","",IFERROR(INDEX(Settings!$B$41:$B$55,MATCH($B786,Settings!$A$41:$A$55,0)),"Check category"))</f>
      </c>
    </row>
    <row r="787" spans="1:7" x14ac:dyDescent="0.25">
      <c r="A787" s="22"/>
      <c r="B787" s="5"/>
      <c r="C787" s="5"/>
      <c r="D787" s="23"/>
      <c r="E787" s="5"/>
      <c r="F787" s="5"/>
      <c r="G787" s="31">
        <f>IF($B787="","",IFERROR(INDEX(Settings!$B$41:$B$55,MATCH($B787,Settings!$A$41:$A$55,0)),"Check category"))</f>
      </c>
    </row>
    <row r="788" spans="1:7" x14ac:dyDescent="0.25">
      <c r="A788" s="22"/>
      <c r="B788" s="5"/>
      <c r="C788" s="5"/>
      <c r="D788" s="23"/>
      <c r="E788" s="5"/>
      <c r="F788" s="5"/>
      <c r="G788" s="31">
        <f>IF($B788="","",IFERROR(INDEX(Settings!$B$41:$B$55,MATCH($B788,Settings!$A$41:$A$55,0)),"Check category"))</f>
      </c>
    </row>
    <row r="789" spans="1:7" x14ac:dyDescent="0.25">
      <c r="A789" s="22"/>
      <c r="B789" s="5"/>
      <c r="C789" s="5"/>
      <c r="D789" s="23"/>
      <c r="E789" s="5"/>
      <c r="F789" s="5"/>
      <c r="G789" s="31">
        <f>IF($B789="","",IFERROR(INDEX(Settings!$B$41:$B$55,MATCH($B789,Settings!$A$41:$A$55,0)),"Check category"))</f>
      </c>
    </row>
    <row r="790" spans="1:7" x14ac:dyDescent="0.25">
      <c r="A790" s="22"/>
      <c r="B790" s="5"/>
      <c r="C790" s="5"/>
      <c r="D790" s="23"/>
      <c r="E790" s="5"/>
      <c r="F790" s="5"/>
      <c r="G790" s="31">
        <f>IF($B790="","",IFERROR(INDEX(Settings!$B$41:$B$55,MATCH($B790,Settings!$A$41:$A$55,0)),"Check category"))</f>
      </c>
    </row>
    <row r="791" spans="1:7" x14ac:dyDescent="0.25">
      <c r="A791" s="22"/>
      <c r="B791" s="5"/>
      <c r="C791" s="5"/>
      <c r="D791" s="23"/>
      <c r="E791" s="5"/>
      <c r="F791" s="5"/>
      <c r="G791" s="31">
        <f>IF($B791="","",IFERROR(INDEX(Settings!$B$41:$B$55,MATCH($B791,Settings!$A$41:$A$55,0)),"Check category"))</f>
      </c>
    </row>
    <row r="792" spans="1:7" x14ac:dyDescent="0.25">
      <c r="A792" s="22"/>
      <c r="B792" s="5"/>
      <c r="C792" s="5"/>
      <c r="D792" s="23"/>
      <c r="E792" s="5"/>
      <c r="F792" s="5"/>
      <c r="G792" s="31">
        <f>IF($B792="","",IFERROR(INDEX(Settings!$B$41:$B$55,MATCH($B792,Settings!$A$41:$A$55,0)),"Check category"))</f>
      </c>
    </row>
    <row r="793" spans="1:7" x14ac:dyDescent="0.25">
      <c r="A793" s="22"/>
      <c r="B793" s="5"/>
      <c r="C793" s="5"/>
      <c r="D793" s="23"/>
      <c r="E793" s="5"/>
      <c r="F793" s="5"/>
      <c r="G793" s="31">
        <f>IF($B793="","",IFERROR(INDEX(Settings!$B$41:$B$55,MATCH($B793,Settings!$A$41:$A$55,0)),"Check category"))</f>
      </c>
    </row>
    <row r="794" spans="1:7" x14ac:dyDescent="0.25">
      <c r="A794" s="22"/>
      <c r="B794" s="5"/>
      <c r="C794" s="5"/>
      <c r="D794" s="23"/>
      <c r="E794" s="5"/>
      <c r="F794" s="5"/>
      <c r="G794" s="31">
        <f>IF($B794="","",IFERROR(INDEX(Settings!$B$41:$B$55,MATCH($B794,Settings!$A$41:$A$55,0)),"Check category"))</f>
      </c>
    </row>
    <row r="795" spans="1:7" x14ac:dyDescent="0.25">
      <c r="A795" s="22"/>
      <c r="B795" s="5"/>
      <c r="C795" s="5"/>
      <c r="D795" s="23"/>
      <c r="E795" s="5"/>
      <c r="F795" s="5"/>
      <c r="G795" s="31">
        <f>IF($B795="","",IFERROR(INDEX(Settings!$B$41:$B$55,MATCH($B795,Settings!$A$41:$A$55,0)),"Check category"))</f>
      </c>
    </row>
    <row r="796" spans="1:7" x14ac:dyDescent="0.25">
      <c r="A796" s="22"/>
      <c r="B796" s="5"/>
      <c r="C796" s="5"/>
      <c r="D796" s="23"/>
      <c r="E796" s="5"/>
      <c r="F796" s="5"/>
      <c r="G796" s="31">
        <f>IF($B796="","",IFERROR(INDEX(Settings!$B$41:$B$55,MATCH($B796,Settings!$A$41:$A$55,0)),"Check category"))</f>
      </c>
    </row>
    <row r="797" spans="1:7" x14ac:dyDescent="0.25">
      <c r="A797" s="22"/>
      <c r="B797" s="5"/>
      <c r="C797" s="5"/>
      <c r="D797" s="23"/>
      <c r="E797" s="5"/>
      <c r="F797" s="5"/>
      <c r="G797" s="31">
        <f>IF($B797="","",IFERROR(INDEX(Settings!$B$41:$B$55,MATCH($B797,Settings!$A$41:$A$55,0)),"Check category"))</f>
      </c>
    </row>
    <row r="798" spans="1:7" x14ac:dyDescent="0.25">
      <c r="A798" s="22"/>
      <c r="B798" s="5"/>
      <c r="C798" s="5"/>
      <c r="D798" s="23"/>
      <c r="E798" s="5"/>
      <c r="F798" s="5"/>
      <c r="G798" s="31">
        <f>IF($B798="","",IFERROR(INDEX(Settings!$B$41:$B$55,MATCH($B798,Settings!$A$41:$A$55,0)),"Check category"))</f>
      </c>
    </row>
    <row r="799" spans="1:7" x14ac:dyDescent="0.25">
      <c r="A799" s="22"/>
      <c r="B799" s="5"/>
      <c r="C799" s="5"/>
      <c r="D799" s="23"/>
      <c r="E799" s="5"/>
      <c r="F799" s="5"/>
      <c r="G799" s="31">
        <f>IF($B799="","",IFERROR(INDEX(Settings!$B$41:$B$55,MATCH($B799,Settings!$A$41:$A$55,0)),"Check category"))</f>
      </c>
    </row>
    <row r="800" spans="1:7" x14ac:dyDescent="0.25">
      <c r="A800" s="22"/>
      <c r="B800" s="5"/>
      <c r="C800" s="5"/>
      <c r="D800" s="23"/>
      <c r="E800" s="5"/>
      <c r="F800" s="5"/>
      <c r="G800" s="31">
        <f>IF($B800="","",IFERROR(INDEX(Settings!$B$41:$B$55,MATCH($B800,Settings!$A$41:$A$55,0)),"Check category"))</f>
      </c>
    </row>
    <row r="801" spans="1:7" x14ac:dyDescent="0.25">
      <c r="A801" s="22"/>
      <c r="B801" s="5"/>
      <c r="C801" s="5"/>
      <c r="D801" s="23"/>
      <c r="E801" s="5"/>
      <c r="F801" s="5"/>
      <c r="G801" s="31">
        <f>IF($B801="","",IFERROR(INDEX(Settings!$B$41:$B$55,MATCH($B801,Settings!$A$41:$A$55,0)),"Check category"))</f>
      </c>
    </row>
    <row r="802" spans="1:7" x14ac:dyDescent="0.25">
      <c r="A802" s="22"/>
      <c r="B802" s="5"/>
      <c r="C802" s="5"/>
      <c r="D802" s="23"/>
      <c r="E802" s="5"/>
      <c r="F802" s="5"/>
      <c r="G802" s="31">
        <f>IF($B802="","",IFERROR(INDEX(Settings!$B$41:$B$55,MATCH($B802,Settings!$A$41:$A$55,0)),"Check category"))</f>
      </c>
    </row>
    <row r="803" spans="1:7" x14ac:dyDescent="0.25">
      <c r="A803" s="22"/>
      <c r="B803" s="5"/>
      <c r="C803" s="5"/>
      <c r="D803" s="23"/>
      <c r="E803" s="5"/>
      <c r="F803" s="5"/>
      <c r="G803" s="31">
        <f>IF($B803="","",IFERROR(INDEX(Settings!$B$41:$B$55,MATCH($B803,Settings!$A$41:$A$55,0)),"Check category"))</f>
      </c>
    </row>
    <row r="804" spans="1:7" x14ac:dyDescent="0.25">
      <c r="A804" s="22"/>
      <c r="B804" s="5"/>
      <c r="C804" s="5"/>
      <c r="D804" s="23"/>
      <c r="E804" s="5"/>
      <c r="F804" s="5"/>
      <c r="G804" s="31">
        <f>IF($B804="","",IFERROR(INDEX(Settings!$B$41:$B$55,MATCH($B804,Settings!$A$41:$A$55,0)),"Check category"))</f>
      </c>
    </row>
    <row r="805" spans="1:7" x14ac:dyDescent="0.25">
      <c r="A805" s="22"/>
      <c r="B805" s="5"/>
      <c r="C805" s="5"/>
      <c r="D805" s="23"/>
      <c r="E805" s="5"/>
      <c r="F805" s="5"/>
      <c r="G805" s="31">
        <f>IF($B805="","",IFERROR(INDEX(Settings!$B$41:$B$55,MATCH($B805,Settings!$A$41:$A$55,0)),"Check category"))</f>
      </c>
    </row>
    <row r="806" spans="1:7" x14ac:dyDescent="0.25">
      <c r="A806" s="22"/>
      <c r="B806" s="5"/>
      <c r="C806" s="5"/>
      <c r="D806" s="23"/>
      <c r="E806" s="5"/>
      <c r="F806" s="5"/>
      <c r="G806" s="31">
        <f>IF($B806="","",IFERROR(INDEX(Settings!$B$41:$B$55,MATCH($B806,Settings!$A$41:$A$55,0)),"Check category"))</f>
      </c>
    </row>
    <row r="807" spans="1:7" x14ac:dyDescent="0.25">
      <c r="A807" s="22"/>
      <c r="B807" s="5"/>
      <c r="C807" s="5"/>
      <c r="D807" s="23"/>
      <c r="E807" s="5"/>
      <c r="F807" s="5"/>
      <c r="G807" s="31">
        <f>IF($B807="","",IFERROR(INDEX(Settings!$B$41:$B$55,MATCH($B807,Settings!$A$41:$A$55,0)),"Check category"))</f>
      </c>
    </row>
    <row r="808" spans="1:7" x14ac:dyDescent="0.25">
      <c r="A808" s="22"/>
      <c r="B808" s="5"/>
      <c r="C808" s="5"/>
      <c r="D808" s="23"/>
      <c r="E808" s="5"/>
      <c r="F808" s="5"/>
      <c r="G808" s="31">
        <f>IF($B808="","",IFERROR(INDEX(Settings!$B$41:$B$55,MATCH($B808,Settings!$A$41:$A$55,0)),"Check category"))</f>
      </c>
    </row>
    <row r="809" spans="1:7" x14ac:dyDescent="0.25">
      <c r="A809" s="22"/>
      <c r="B809" s="5"/>
      <c r="C809" s="5"/>
      <c r="D809" s="23"/>
      <c r="E809" s="5"/>
      <c r="F809" s="5"/>
      <c r="G809" s="31">
        <f>IF($B809="","",IFERROR(INDEX(Settings!$B$41:$B$55,MATCH($B809,Settings!$A$41:$A$55,0)),"Check category"))</f>
      </c>
    </row>
    <row r="810" spans="1:7" x14ac:dyDescent="0.25">
      <c r="A810" s="22"/>
      <c r="B810" s="5"/>
      <c r="C810" s="5"/>
      <c r="D810" s="23"/>
      <c r="E810" s="5"/>
      <c r="F810" s="5"/>
      <c r="G810" s="31">
        <f>IF($B810="","",IFERROR(INDEX(Settings!$B$41:$B$55,MATCH($B810,Settings!$A$41:$A$55,0)),"Check category"))</f>
      </c>
    </row>
    <row r="811" spans="1:7" x14ac:dyDescent="0.25">
      <c r="A811" s="22"/>
      <c r="B811" s="5"/>
      <c r="C811" s="5"/>
      <c r="D811" s="23"/>
      <c r="E811" s="5"/>
      <c r="F811" s="5"/>
      <c r="G811" s="31">
        <f>IF($B811="","",IFERROR(INDEX(Settings!$B$41:$B$55,MATCH($B811,Settings!$A$41:$A$55,0)),"Check category"))</f>
      </c>
    </row>
    <row r="812" spans="1:7" x14ac:dyDescent="0.25">
      <c r="A812" s="22"/>
      <c r="B812" s="5"/>
      <c r="C812" s="5"/>
      <c r="D812" s="23"/>
      <c r="E812" s="5"/>
      <c r="F812" s="5"/>
      <c r="G812" s="31">
        <f>IF($B812="","",IFERROR(INDEX(Settings!$B$41:$B$55,MATCH($B812,Settings!$A$41:$A$55,0)),"Check category"))</f>
      </c>
    </row>
    <row r="813" spans="1:7" x14ac:dyDescent="0.25">
      <c r="A813" s="22"/>
      <c r="B813" s="5"/>
      <c r="C813" s="5"/>
      <c r="D813" s="23"/>
      <c r="E813" s="5"/>
      <c r="F813" s="5"/>
      <c r="G813" s="31">
        <f>IF($B813="","",IFERROR(INDEX(Settings!$B$41:$B$55,MATCH($B813,Settings!$A$41:$A$55,0)),"Check category"))</f>
      </c>
    </row>
    <row r="814" spans="1:7" x14ac:dyDescent="0.25">
      <c r="A814" s="22"/>
      <c r="B814" s="5"/>
      <c r="C814" s="5"/>
      <c r="D814" s="23"/>
      <c r="E814" s="5"/>
      <c r="F814" s="5"/>
      <c r="G814" s="31">
        <f>IF($B814="","",IFERROR(INDEX(Settings!$B$41:$B$55,MATCH($B814,Settings!$A$41:$A$55,0)),"Check category"))</f>
      </c>
    </row>
    <row r="815" spans="1:7" x14ac:dyDescent="0.25">
      <c r="A815" s="22"/>
      <c r="B815" s="5"/>
      <c r="C815" s="5"/>
      <c r="D815" s="23"/>
      <c r="E815" s="5"/>
      <c r="F815" s="5"/>
      <c r="G815" s="31">
        <f>IF($B815="","",IFERROR(INDEX(Settings!$B$41:$B$55,MATCH($B815,Settings!$A$41:$A$55,0)),"Check category"))</f>
      </c>
    </row>
    <row r="816" spans="1:7" x14ac:dyDescent="0.25">
      <c r="A816" s="22"/>
      <c r="B816" s="5"/>
      <c r="C816" s="5"/>
      <c r="D816" s="23"/>
      <c r="E816" s="5"/>
      <c r="F816" s="5"/>
      <c r="G816" s="31">
        <f>IF($B816="","",IFERROR(INDEX(Settings!$B$41:$B$55,MATCH($B816,Settings!$A$41:$A$55,0)),"Check category"))</f>
      </c>
    </row>
    <row r="817" spans="1:7" x14ac:dyDescent="0.25">
      <c r="A817" s="22"/>
      <c r="B817" s="5"/>
      <c r="C817" s="5"/>
      <c r="D817" s="23"/>
      <c r="E817" s="5"/>
      <c r="F817" s="5"/>
      <c r="G817" s="31">
        <f>IF($B817="","",IFERROR(INDEX(Settings!$B$41:$B$55,MATCH($B817,Settings!$A$41:$A$55,0)),"Check category"))</f>
      </c>
    </row>
    <row r="818" spans="1:7" x14ac:dyDescent="0.25">
      <c r="A818" s="22"/>
      <c r="B818" s="5"/>
      <c r="C818" s="5"/>
      <c r="D818" s="23"/>
      <c r="E818" s="5"/>
      <c r="F818" s="5"/>
      <c r="G818" s="31">
        <f>IF($B818="","",IFERROR(INDEX(Settings!$B$41:$B$55,MATCH($B818,Settings!$A$41:$A$55,0)),"Check category"))</f>
      </c>
    </row>
    <row r="819" spans="1:7" x14ac:dyDescent="0.25">
      <c r="A819" s="22"/>
      <c r="B819" s="5"/>
      <c r="C819" s="5"/>
      <c r="D819" s="23"/>
      <c r="E819" s="5"/>
      <c r="F819" s="5"/>
      <c r="G819" s="31">
        <f>IF($B819="","",IFERROR(INDEX(Settings!$B$41:$B$55,MATCH($B819,Settings!$A$41:$A$55,0)),"Check category"))</f>
      </c>
    </row>
    <row r="820" spans="1:7" x14ac:dyDescent="0.25">
      <c r="A820" s="22"/>
      <c r="B820" s="5"/>
      <c r="C820" s="5"/>
      <c r="D820" s="23"/>
      <c r="E820" s="5"/>
      <c r="F820" s="5"/>
      <c r="G820" s="31">
        <f>IF($B820="","",IFERROR(INDEX(Settings!$B$41:$B$55,MATCH($B820,Settings!$A$41:$A$55,0)),"Check category"))</f>
      </c>
    </row>
    <row r="821" spans="1:7" x14ac:dyDescent="0.25">
      <c r="A821" s="22"/>
      <c r="B821" s="5"/>
      <c r="C821" s="5"/>
      <c r="D821" s="23"/>
      <c r="E821" s="5"/>
      <c r="F821" s="5"/>
      <c r="G821" s="31">
        <f>IF($B821="","",IFERROR(INDEX(Settings!$B$41:$B$55,MATCH($B821,Settings!$A$41:$A$55,0)),"Check category"))</f>
      </c>
    </row>
    <row r="822" spans="1:7" x14ac:dyDescent="0.25">
      <c r="A822" s="22"/>
      <c r="B822" s="5"/>
      <c r="C822" s="5"/>
      <c r="D822" s="23"/>
      <c r="E822" s="5"/>
      <c r="F822" s="5"/>
      <c r="G822" s="31">
        <f>IF($B822="","",IFERROR(INDEX(Settings!$B$41:$B$55,MATCH($B822,Settings!$A$41:$A$55,0)),"Check category"))</f>
      </c>
    </row>
    <row r="823" spans="1:7" x14ac:dyDescent="0.25">
      <c r="A823" s="22"/>
      <c r="B823" s="5"/>
      <c r="C823" s="5"/>
      <c r="D823" s="23"/>
      <c r="E823" s="5"/>
      <c r="F823" s="5"/>
      <c r="G823" s="31">
        <f>IF($B823="","",IFERROR(INDEX(Settings!$B$41:$B$55,MATCH($B823,Settings!$A$41:$A$55,0)),"Check category"))</f>
      </c>
    </row>
    <row r="824" spans="1:7" x14ac:dyDescent="0.25">
      <c r="A824" s="22"/>
      <c r="B824" s="5"/>
      <c r="C824" s="5"/>
      <c r="D824" s="23"/>
      <c r="E824" s="5"/>
      <c r="F824" s="5"/>
      <c r="G824" s="31">
        <f>IF($B824="","",IFERROR(INDEX(Settings!$B$41:$B$55,MATCH($B824,Settings!$A$41:$A$55,0)),"Check category"))</f>
      </c>
    </row>
    <row r="825" spans="1:7" x14ac:dyDescent="0.25">
      <c r="A825" s="22"/>
      <c r="B825" s="5"/>
      <c r="C825" s="5"/>
      <c r="D825" s="23"/>
      <c r="E825" s="5"/>
      <c r="F825" s="5"/>
      <c r="G825" s="31">
        <f>IF($B825="","",IFERROR(INDEX(Settings!$B$41:$B$55,MATCH($B825,Settings!$A$41:$A$55,0)),"Check category"))</f>
      </c>
    </row>
    <row r="826" spans="1:7" x14ac:dyDescent="0.25">
      <c r="A826" s="22"/>
      <c r="B826" s="5"/>
      <c r="C826" s="5"/>
      <c r="D826" s="23"/>
      <c r="E826" s="5"/>
      <c r="F826" s="5"/>
      <c r="G826" s="31">
        <f>IF($B826="","",IFERROR(INDEX(Settings!$B$41:$B$55,MATCH($B826,Settings!$A$41:$A$55,0)),"Check category"))</f>
      </c>
    </row>
    <row r="827" spans="1:7" x14ac:dyDescent="0.25">
      <c r="A827" s="22"/>
      <c r="B827" s="5"/>
      <c r="C827" s="5"/>
      <c r="D827" s="23"/>
      <c r="E827" s="5"/>
      <c r="F827" s="5"/>
      <c r="G827" s="31">
        <f>IF($B827="","",IFERROR(INDEX(Settings!$B$41:$B$55,MATCH($B827,Settings!$A$41:$A$55,0)),"Check category"))</f>
      </c>
    </row>
    <row r="828" spans="1:7" x14ac:dyDescent="0.25">
      <c r="A828" s="22"/>
      <c r="B828" s="5"/>
      <c r="C828" s="5"/>
      <c r="D828" s="23"/>
      <c r="E828" s="5"/>
      <c r="F828" s="5"/>
      <c r="G828" s="31">
        <f>IF($B828="","",IFERROR(INDEX(Settings!$B$41:$B$55,MATCH($B828,Settings!$A$41:$A$55,0)),"Check category"))</f>
      </c>
    </row>
    <row r="829" spans="1:7" x14ac:dyDescent="0.25">
      <c r="A829" s="22"/>
      <c r="B829" s="5"/>
      <c r="C829" s="5"/>
      <c r="D829" s="23"/>
      <c r="E829" s="5"/>
      <c r="F829" s="5"/>
      <c r="G829" s="31">
        <f>IF($B829="","",IFERROR(INDEX(Settings!$B$41:$B$55,MATCH($B829,Settings!$A$41:$A$55,0)),"Check category"))</f>
      </c>
    </row>
    <row r="830" spans="1:7" x14ac:dyDescent="0.25">
      <c r="A830" s="22"/>
      <c r="B830" s="5"/>
      <c r="C830" s="5"/>
      <c r="D830" s="23"/>
      <c r="E830" s="5"/>
      <c r="F830" s="5"/>
      <c r="G830" s="31">
        <f>IF($B830="","",IFERROR(INDEX(Settings!$B$41:$B$55,MATCH($B830,Settings!$A$41:$A$55,0)),"Check category"))</f>
      </c>
    </row>
    <row r="831" spans="1:7" x14ac:dyDescent="0.25">
      <c r="A831" s="22"/>
      <c r="B831" s="5"/>
      <c r="C831" s="5"/>
      <c r="D831" s="23"/>
      <c r="E831" s="5"/>
      <c r="F831" s="5"/>
      <c r="G831" s="31">
        <f>IF($B831="","",IFERROR(INDEX(Settings!$B$41:$B$55,MATCH($B831,Settings!$A$41:$A$55,0)),"Check category"))</f>
      </c>
    </row>
    <row r="832" spans="1:7" x14ac:dyDescent="0.25">
      <c r="A832" s="22"/>
      <c r="B832" s="5"/>
      <c r="C832" s="5"/>
      <c r="D832" s="23"/>
      <c r="E832" s="5"/>
      <c r="F832" s="5"/>
      <c r="G832" s="31">
        <f>IF($B832="","",IFERROR(INDEX(Settings!$B$41:$B$55,MATCH($B832,Settings!$A$41:$A$55,0)),"Check category"))</f>
      </c>
    </row>
    <row r="833" spans="1:7" x14ac:dyDescent="0.25">
      <c r="A833" s="22"/>
      <c r="B833" s="5"/>
      <c r="C833" s="5"/>
      <c r="D833" s="23"/>
      <c r="E833" s="5"/>
      <c r="F833" s="5"/>
      <c r="G833" s="31">
        <f>IF($B833="","",IFERROR(INDEX(Settings!$B$41:$B$55,MATCH($B833,Settings!$A$41:$A$55,0)),"Check category"))</f>
      </c>
    </row>
    <row r="834" spans="1:7" x14ac:dyDescent="0.25">
      <c r="A834" s="22"/>
      <c r="B834" s="5"/>
      <c r="C834" s="5"/>
      <c r="D834" s="23"/>
      <c r="E834" s="5"/>
      <c r="F834" s="5"/>
      <c r="G834" s="31">
        <f>IF($B834="","",IFERROR(INDEX(Settings!$B$41:$B$55,MATCH($B834,Settings!$A$41:$A$55,0)),"Check category"))</f>
      </c>
    </row>
    <row r="835" spans="1:7" x14ac:dyDescent="0.25">
      <c r="A835" s="22"/>
      <c r="B835" s="5"/>
      <c r="C835" s="5"/>
      <c r="D835" s="23"/>
      <c r="E835" s="5"/>
      <c r="F835" s="5"/>
      <c r="G835" s="31">
        <f>IF($B835="","",IFERROR(INDEX(Settings!$B$41:$B$55,MATCH($B835,Settings!$A$41:$A$55,0)),"Check category"))</f>
      </c>
    </row>
    <row r="836" spans="1:7" x14ac:dyDescent="0.25">
      <c r="A836" s="22"/>
      <c r="B836" s="5"/>
      <c r="C836" s="5"/>
      <c r="D836" s="23"/>
      <c r="E836" s="5"/>
      <c r="F836" s="5"/>
      <c r="G836" s="31">
        <f>IF($B836="","",IFERROR(INDEX(Settings!$B$41:$B$55,MATCH($B836,Settings!$A$41:$A$55,0)),"Check category"))</f>
      </c>
    </row>
    <row r="837" spans="1:7" x14ac:dyDescent="0.25">
      <c r="A837" s="22"/>
      <c r="B837" s="5"/>
      <c r="C837" s="5"/>
      <c r="D837" s="23"/>
      <c r="E837" s="5"/>
      <c r="F837" s="5"/>
      <c r="G837" s="31">
        <f>IF($B837="","",IFERROR(INDEX(Settings!$B$41:$B$55,MATCH($B837,Settings!$A$41:$A$55,0)),"Check category"))</f>
      </c>
    </row>
    <row r="838" spans="1:7" x14ac:dyDescent="0.25">
      <c r="A838" s="22"/>
      <c r="B838" s="5"/>
      <c r="C838" s="5"/>
      <c r="D838" s="23"/>
      <c r="E838" s="5"/>
      <c r="F838" s="5"/>
      <c r="G838" s="31">
        <f>IF($B838="","",IFERROR(INDEX(Settings!$B$41:$B$55,MATCH($B838,Settings!$A$41:$A$55,0)),"Check category"))</f>
      </c>
    </row>
    <row r="839" spans="1:7" x14ac:dyDescent="0.25">
      <c r="A839" s="22"/>
      <c r="B839" s="5"/>
      <c r="C839" s="5"/>
      <c r="D839" s="23"/>
      <c r="E839" s="5"/>
      <c r="F839" s="5"/>
      <c r="G839" s="31">
        <f>IF($B839="","",IFERROR(INDEX(Settings!$B$41:$B$55,MATCH($B839,Settings!$A$41:$A$55,0)),"Check category"))</f>
      </c>
    </row>
    <row r="840" spans="1:7" x14ac:dyDescent="0.25">
      <c r="A840" s="22"/>
      <c r="B840" s="5"/>
      <c r="C840" s="5"/>
      <c r="D840" s="23"/>
      <c r="E840" s="5"/>
      <c r="F840" s="5"/>
      <c r="G840" s="31">
        <f>IF($B840="","",IFERROR(INDEX(Settings!$B$41:$B$55,MATCH($B840,Settings!$A$41:$A$55,0)),"Check category"))</f>
      </c>
    </row>
    <row r="841" spans="1:7" x14ac:dyDescent="0.25">
      <c r="A841" s="22"/>
      <c r="B841" s="5"/>
      <c r="C841" s="5"/>
      <c r="D841" s="23"/>
      <c r="E841" s="5"/>
      <c r="F841" s="5"/>
      <c r="G841" s="31">
        <f>IF($B841="","",IFERROR(INDEX(Settings!$B$41:$B$55,MATCH($B841,Settings!$A$41:$A$55,0)),"Check category"))</f>
      </c>
    </row>
    <row r="842" spans="1:7" x14ac:dyDescent="0.25">
      <c r="A842" s="22"/>
      <c r="B842" s="5"/>
      <c r="C842" s="5"/>
      <c r="D842" s="23"/>
      <c r="E842" s="5"/>
      <c r="F842" s="5"/>
      <c r="G842" s="31">
        <f>IF($B842="","",IFERROR(INDEX(Settings!$B$41:$B$55,MATCH($B842,Settings!$A$41:$A$55,0)),"Check category"))</f>
      </c>
    </row>
    <row r="843" spans="1:7" x14ac:dyDescent="0.25">
      <c r="A843" s="22"/>
      <c r="B843" s="5"/>
      <c r="C843" s="5"/>
      <c r="D843" s="23"/>
      <c r="E843" s="5"/>
      <c r="F843" s="5"/>
      <c r="G843" s="31">
        <f>IF($B843="","",IFERROR(INDEX(Settings!$B$41:$B$55,MATCH($B843,Settings!$A$41:$A$55,0)),"Check category"))</f>
      </c>
    </row>
    <row r="844" spans="1:7" x14ac:dyDescent="0.25">
      <c r="A844" s="22"/>
      <c r="B844" s="5"/>
      <c r="C844" s="5"/>
      <c r="D844" s="23"/>
      <c r="E844" s="5"/>
      <c r="F844" s="5"/>
      <c r="G844" s="31">
        <f>IF($B844="","",IFERROR(INDEX(Settings!$B$41:$B$55,MATCH($B844,Settings!$A$41:$A$55,0)),"Check category"))</f>
      </c>
    </row>
    <row r="845" spans="1:7" x14ac:dyDescent="0.25">
      <c r="A845" s="22"/>
      <c r="B845" s="5"/>
      <c r="C845" s="5"/>
      <c r="D845" s="23"/>
      <c r="E845" s="5"/>
      <c r="F845" s="5"/>
      <c r="G845" s="31">
        <f>IF($B845="","",IFERROR(INDEX(Settings!$B$41:$B$55,MATCH($B845,Settings!$A$41:$A$55,0)),"Check category"))</f>
      </c>
    </row>
    <row r="846" spans="1:7" x14ac:dyDescent="0.25">
      <c r="A846" s="22"/>
      <c r="B846" s="5"/>
      <c r="C846" s="5"/>
      <c r="D846" s="23"/>
      <c r="E846" s="5"/>
      <c r="F846" s="5"/>
      <c r="G846" s="31">
        <f>IF($B846="","",IFERROR(INDEX(Settings!$B$41:$B$55,MATCH($B846,Settings!$A$41:$A$55,0)),"Check category"))</f>
      </c>
    </row>
    <row r="847" spans="1:7" x14ac:dyDescent="0.25">
      <c r="A847" s="22"/>
      <c r="B847" s="5"/>
      <c r="C847" s="5"/>
      <c r="D847" s="23"/>
      <c r="E847" s="5"/>
      <c r="F847" s="5"/>
      <c r="G847" s="31">
        <f>IF($B847="","",IFERROR(INDEX(Settings!$B$41:$B$55,MATCH($B847,Settings!$A$41:$A$55,0)),"Check category"))</f>
      </c>
    </row>
    <row r="848" spans="1:7" x14ac:dyDescent="0.25">
      <c r="A848" s="22"/>
      <c r="B848" s="5"/>
      <c r="C848" s="5"/>
      <c r="D848" s="23"/>
      <c r="E848" s="5"/>
      <c r="F848" s="5"/>
      <c r="G848" s="31">
        <f>IF($B848="","",IFERROR(INDEX(Settings!$B$41:$B$55,MATCH($B848,Settings!$A$41:$A$55,0)),"Check category"))</f>
      </c>
    </row>
    <row r="849" spans="1:7" x14ac:dyDescent="0.25">
      <c r="A849" s="22"/>
      <c r="B849" s="5"/>
      <c r="C849" s="5"/>
      <c r="D849" s="23"/>
      <c r="E849" s="5"/>
      <c r="F849" s="5"/>
      <c r="G849" s="31">
        <f>IF($B849="","",IFERROR(INDEX(Settings!$B$41:$B$55,MATCH($B849,Settings!$A$41:$A$55,0)),"Check category"))</f>
      </c>
    </row>
    <row r="850" spans="1:7" x14ac:dyDescent="0.25">
      <c r="A850" s="22"/>
      <c r="B850" s="5"/>
      <c r="C850" s="5"/>
      <c r="D850" s="23"/>
      <c r="E850" s="5"/>
      <c r="F850" s="5"/>
      <c r="G850" s="31">
        <f>IF($B850="","",IFERROR(INDEX(Settings!$B$41:$B$55,MATCH($B850,Settings!$A$41:$A$55,0)),"Check category"))</f>
      </c>
    </row>
    <row r="851" spans="1:7" x14ac:dyDescent="0.25">
      <c r="A851" s="22"/>
      <c r="B851" s="5"/>
      <c r="C851" s="5"/>
      <c r="D851" s="23"/>
      <c r="E851" s="5"/>
      <c r="F851" s="5"/>
      <c r="G851" s="31">
        <f>IF($B851="","",IFERROR(INDEX(Settings!$B$41:$B$55,MATCH($B851,Settings!$A$41:$A$55,0)),"Check category"))</f>
      </c>
    </row>
    <row r="852" spans="1:7" x14ac:dyDescent="0.25">
      <c r="A852" s="22"/>
      <c r="B852" s="5"/>
      <c r="C852" s="5"/>
      <c r="D852" s="23"/>
      <c r="E852" s="5"/>
      <c r="F852" s="5"/>
      <c r="G852" s="31">
        <f>IF($B852="","",IFERROR(INDEX(Settings!$B$41:$B$55,MATCH($B852,Settings!$A$41:$A$55,0)),"Check category"))</f>
      </c>
    </row>
    <row r="853" spans="1:7" x14ac:dyDescent="0.25">
      <c r="A853" s="22"/>
      <c r="B853" s="5"/>
      <c r="C853" s="5"/>
      <c r="D853" s="23"/>
      <c r="E853" s="5"/>
      <c r="F853" s="5"/>
      <c r="G853" s="31">
        <f>IF($B853="","",IFERROR(INDEX(Settings!$B$41:$B$55,MATCH($B853,Settings!$A$41:$A$55,0)),"Check category"))</f>
      </c>
    </row>
    <row r="854" spans="1:7" x14ac:dyDescent="0.25">
      <c r="A854" s="22"/>
      <c r="B854" s="5"/>
      <c r="C854" s="5"/>
      <c r="D854" s="23"/>
      <c r="E854" s="5"/>
      <c r="F854" s="5"/>
      <c r="G854" s="31">
        <f>IF($B854="","",IFERROR(INDEX(Settings!$B$41:$B$55,MATCH($B854,Settings!$A$41:$A$55,0)),"Check category"))</f>
      </c>
    </row>
    <row r="855" spans="1:7" x14ac:dyDescent="0.25">
      <c r="A855" s="22"/>
      <c r="B855" s="5"/>
      <c r="C855" s="5"/>
      <c r="D855" s="23"/>
      <c r="E855" s="5"/>
      <c r="F855" s="5"/>
      <c r="G855" s="31">
        <f>IF($B855="","",IFERROR(INDEX(Settings!$B$41:$B$55,MATCH($B855,Settings!$A$41:$A$55,0)),"Check category"))</f>
      </c>
    </row>
    <row r="856" spans="1:7" x14ac:dyDescent="0.25">
      <c r="A856" s="22"/>
      <c r="B856" s="5"/>
      <c r="C856" s="5"/>
      <c r="D856" s="23"/>
      <c r="E856" s="5"/>
      <c r="F856" s="5"/>
      <c r="G856" s="31">
        <f>IF($B856="","",IFERROR(INDEX(Settings!$B$41:$B$55,MATCH($B856,Settings!$A$41:$A$55,0)),"Check category"))</f>
      </c>
    </row>
    <row r="857" spans="1:7" x14ac:dyDescent="0.25">
      <c r="A857" s="22"/>
      <c r="B857" s="5"/>
      <c r="C857" s="5"/>
      <c r="D857" s="23"/>
      <c r="E857" s="5"/>
      <c r="F857" s="5"/>
      <c r="G857" s="31">
        <f>IF($B857="","",IFERROR(INDEX(Settings!$B$41:$B$55,MATCH($B857,Settings!$A$41:$A$55,0)),"Check category"))</f>
      </c>
    </row>
    <row r="858" spans="1:7" x14ac:dyDescent="0.25">
      <c r="A858" s="22"/>
      <c r="B858" s="5"/>
      <c r="C858" s="5"/>
      <c r="D858" s="23"/>
      <c r="E858" s="5"/>
      <c r="F858" s="5"/>
      <c r="G858" s="31">
        <f>IF($B858="","",IFERROR(INDEX(Settings!$B$41:$B$55,MATCH($B858,Settings!$A$41:$A$55,0)),"Check category"))</f>
      </c>
    </row>
    <row r="859" spans="1:7" x14ac:dyDescent="0.25">
      <c r="A859" s="22"/>
      <c r="B859" s="5"/>
      <c r="C859" s="5"/>
      <c r="D859" s="23"/>
      <c r="E859" s="5"/>
      <c r="F859" s="5"/>
      <c r="G859" s="31">
        <f>IF($B859="","",IFERROR(INDEX(Settings!$B$41:$B$55,MATCH($B859,Settings!$A$41:$A$55,0)),"Check category"))</f>
      </c>
    </row>
    <row r="860" spans="1:7" x14ac:dyDescent="0.25">
      <c r="A860" s="22"/>
      <c r="B860" s="5"/>
      <c r="C860" s="5"/>
      <c r="D860" s="23"/>
      <c r="E860" s="5"/>
      <c r="F860" s="5"/>
      <c r="G860" s="31">
        <f>IF($B860="","",IFERROR(INDEX(Settings!$B$41:$B$55,MATCH($B860,Settings!$A$41:$A$55,0)),"Check category"))</f>
      </c>
    </row>
    <row r="861" spans="1:7" x14ac:dyDescent="0.25">
      <c r="A861" s="22"/>
      <c r="B861" s="5"/>
      <c r="C861" s="5"/>
      <c r="D861" s="23"/>
      <c r="E861" s="5"/>
      <c r="F861" s="5"/>
      <c r="G861" s="31">
        <f>IF($B861="","",IFERROR(INDEX(Settings!$B$41:$B$55,MATCH($B861,Settings!$A$41:$A$55,0)),"Check category"))</f>
      </c>
    </row>
    <row r="862" spans="1:7" x14ac:dyDescent="0.25">
      <c r="A862" s="22"/>
      <c r="B862" s="5"/>
      <c r="C862" s="5"/>
      <c r="D862" s="23"/>
      <c r="E862" s="5"/>
      <c r="F862" s="5"/>
      <c r="G862" s="31">
        <f>IF($B862="","",IFERROR(INDEX(Settings!$B$41:$B$55,MATCH($B862,Settings!$A$41:$A$55,0)),"Check category"))</f>
      </c>
    </row>
    <row r="863" spans="1:7" x14ac:dyDescent="0.25">
      <c r="A863" s="22"/>
      <c r="B863" s="5"/>
      <c r="C863" s="5"/>
      <c r="D863" s="23"/>
      <c r="E863" s="5"/>
      <c r="F863" s="5"/>
      <c r="G863" s="31">
        <f>IF($B863="","",IFERROR(INDEX(Settings!$B$41:$B$55,MATCH($B863,Settings!$A$41:$A$55,0)),"Check category"))</f>
      </c>
    </row>
    <row r="864" spans="1:7" x14ac:dyDescent="0.25">
      <c r="A864" s="22"/>
      <c r="B864" s="5"/>
      <c r="C864" s="5"/>
      <c r="D864" s="23"/>
      <c r="E864" s="5"/>
      <c r="F864" s="5"/>
      <c r="G864" s="31">
        <f>IF($B864="","",IFERROR(INDEX(Settings!$B$41:$B$55,MATCH($B864,Settings!$A$41:$A$55,0)),"Check category"))</f>
      </c>
    </row>
    <row r="865" spans="1:7" x14ac:dyDescent="0.25">
      <c r="A865" s="22"/>
      <c r="B865" s="5"/>
      <c r="C865" s="5"/>
      <c r="D865" s="23"/>
      <c r="E865" s="5"/>
      <c r="F865" s="5"/>
      <c r="G865" s="31">
        <f>IF($B865="","",IFERROR(INDEX(Settings!$B$41:$B$55,MATCH($B865,Settings!$A$41:$A$55,0)),"Check category"))</f>
      </c>
    </row>
    <row r="866" spans="1:7" x14ac:dyDescent="0.25">
      <c r="A866" s="22"/>
      <c r="B866" s="5"/>
      <c r="C866" s="5"/>
      <c r="D866" s="23"/>
      <c r="E866" s="5"/>
      <c r="F866" s="5"/>
      <c r="G866" s="31">
        <f>IF($B866="","",IFERROR(INDEX(Settings!$B$41:$B$55,MATCH($B866,Settings!$A$41:$A$55,0)),"Check category"))</f>
      </c>
    </row>
    <row r="867" spans="1:7" x14ac:dyDescent="0.25">
      <c r="A867" s="22"/>
      <c r="B867" s="5"/>
      <c r="C867" s="5"/>
      <c r="D867" s="23"/>
      <c r="E867" s="5"/>
      <c r="F867" s="5"/>
      <c r="G867" s="31">
        <f>IF($B867="","",IFERROR(INDEX(Settings!$B$41:$B$55,MATCH($B867,Settings!$A$41:$A$55,0)),"Check category"))</f>
      </c>
    </row>
    <row r="868" spans="1:7" x14ac:dyDescent="0.25">
      <c r="A868" s="22"/>
      <c r="B868" s="5"/>
      <c r="C868" s="5"/>
      <c r="D868" s="23"/>
      <c r="E868" s="5"/>
      <c r="F868" s="5"/>
      <c r="G868" s="31">
        <f>IF($B868="","",IFERROR(INDEX(Settings!$B$41:$B$55,MATCH($B868,Settings!$A$41:$A$55,0)),"Check category"))</f>
      </c>
    </row>
    <row r="869" spans="1:7" x14ac:dyDescent="0.25">
      <c r="A869" s="22"/>
      <c r="B869" s="5"/>
      <c r="C869" s="5"/>
      <c r="D869" s="23"/>
      <c r="E869" s="5"/>
      <c r="F869" s="5"/>
      <c r="G869" s="31">
        <f>IF($B869="","",IFERROR(INDEX(Settings!$B$41:$B$55,MATCH($B869,Settings!$A$41:$A$55,0)),"Check category"))</f>
      </c>
    </row>
    <row r="870" spans="1:7" x14ac:dyDescent="0.25">
      <c r="A870" s="22"/>
      <c r="B870" s="5"/>
      <c r="C870" s="5"/>
      <c r="D870" s="23"/>
      <c r="E870" s="5"/>
      <c r="F870" s="5"/>
      <c r="G870" s="31">
        <f>IF($B870="","",IFERROR(INDEX(Settings!$B$41:$B$55,MATCH($B870,Settings!$A$41:$A$55,0)),"Check category"))</f>
      </c>
    </row>
    <row r="871" spans="1:7" x14ac:dyDescent="0.25">
      <c r="A871" s="22"/>
      <c r="B871" s="5"/>
      <c r="C871" s="5"/>
      <c r="D871" s="23"/>
      <c r="E871" s="5"/>
      <c r="F871" s="5"/>
      <c r="G871" s="31">
        <f>IF($B871="","",IFERROR(INDEX(Settings!$B$41:$B$55,MATCH($B871,Settings!$A$41:$A$55,0)),"Check category"))</f>
      </c>
    </row>
    <row r="872" spans="1:7" x14ac:dyDescent="0.25">
      <c r="A872" s="22"/>
      <c r="B872" s="5"/>
      <c r="C872" s="5"/>
      <c r="D872" s="23"/>
      <c r="E872" s="5"/>
      <c r="F872" s="5"/>
      <c r="G872" s="31">
        <f>IF($B872="","",IFERROR(INDEX(Settings!$B$41:$B$55,MATCH($B872,Settings!$A$41:$A$55,0)),"Check category"))</f>
      </c>
    </row>
    <row r="873" spans="1:7" x14ac:dyDescent="0.25">
      <c r="A873" s="22"/>
      <c r="B873" s="5"/>
      <c r="C873" s="5"/>
      <c r="D873" s="23"/>
      <c r="E873" s="5"/>
      <c r="F873" s="5"/>
      <c r="G873" s="31">
        <f>IF($B873="","",IFERROR(INDEX(Settings!$B$41:$B$55,MATCH($B873,Settings!$A$41:$A$55,0)),"Check category"))</f>
      </c>
    </row>
    <row r="874" spans="1:7" x14ac:dyDescent="0.25">
      <c r="A874" s="22"/>
      <c r="B874" s="5"/>
      <c r="C874" s="5"/>
      <c r="D874" s="23"/>
      <c r="E874" s="5"/>
      <c r="F874" s="5"/>
      <c r="G874" s="31">
        <f>IF($B874="","",IFERROR(INDEX(Settings!$B$41:$B$55,MATCH($B874,Settings!$A$41:$A$55,0)),"Check category"))</f>
      </c>
    </row>
    <row r="875" spans="1:7" x14ac:dyDescent="0.25">
      <c r="A875" s="22"/>
      <c r="B875" s="5"/>
      <c r="C875" s="5"/>
      <c r="D875" s="23"/>
      <c r="E875" s="5"/>
      <c r="F875" s="5"/>
      <c r="G875" s="31">
        <f>IF($B875="","",IFERROR(INDEX(Settings!$B$41:$B$55,MATCH($B875,Settings!$A$41:$A$55,0)),"Check category"))</f>
      </c>
    </row>
    <row r="876" spans="1:7" x14ac:dyDescent="0.25">
      <c r="A876" s="22"/>
      <c r="B876" s="5"/>
      <c r="C876" s="5"/>
      <c r="D876" s="23"/>
      <c r="E876" s="5"/>
      <c r="F876" s="5"/>
      <c r="G876" s="31">
        <f>IF($B876="","",IFERROR(INDEX(Settings!$B$41:$B$55,MATCH($B876,Settings!$A$41:$A$55,0)),"Check category"))</f>
      </c>
    </row>
    <row r="877" spans="1:7" x14ac:dyDescent="0.25">
      <c r="A877" s="22"/>
      <c r="B877" s="5"/>
      <c r="C877" s="5"/>
      <c r="D877" s="23"/>
      <c r="E877" s="5"/>
      <c r="F877" s="5"/>
      <c r="G877" s="31">
        <f>IF($B877="","",IFERROR(INDEX(Settings!$B$41:$B$55,MATCH($B877,Settings!$A$41:$A$55,0)),"Check category"))</f>
      </c>
    </row>
    <row r="878" spans="1:7" x14ac:dyDescent="0.25">
      <c r="A878" s="22"/>
      <c r="B878" s="5"/>
      <c r="C878" s="5"/>
      <c r="D878" s="23"/>
      <c r="E878" s="5"/>
      <c r="F878" s="5"/>
      <c r="G878" s="31">
        <f>IF($B878="","",IFERROR(INDEX(Settings!$B$41:$B$55,MATCH($B878,Settings!$A$41:$A$55,0)),"Check category"))</f>
      </c>
    </row>
    <row r="879" spans="1:7" x14ac:dyDescent="0.25">
      <c r="A879" s="22"/>
      <c r="B879" s="5"/>
      <c r="C879" s="5"/>
      <c r="D879" s="23"/>
      <c r="E879" s="5"/>
      <c r="F879" s="5"/>
      <c r="G879" s="31">
        <f>IF($B879="","",IFERROR(INDEX(Settings!$B$41:$B$55,MATCH($B879,Settings!$A$41:$A$55,0)),"Check category"))</f>
      </c>
    </row>
    <row r="880" spans="1:7" x14ac:dyDescent="0.25">
      <c r="A880" s="22"/>
      <c r="B880" s="5"/>
      <c r="C880" s="5"/>
      <c r="D880" s="23"/>
      <c r="E880" s="5"/>
      <c r="F880" s="5"/>
      <c r="G880" s="31">
        <f>IF($B880="","",IFERROR(INDEX(Settings!$B$41:$B$55,MATCH($B880,Settings!$A$41:$A$55,0)),"Check category"))</f>
      </c>
    </row>
    <row r="881" spans="1:7" x14ac:dyDescent="0.25">
      <c r="A881" s="22"/>
      <c r="B881" s="5"/>
      <c r="C881" s="5"/>
      <c r="D881" s="23"/>
      <c r="E881" s="5"/>
      <c r="F881" s="5"/>
      <c r="G881" s="31">
        <f>IF($B881="","",IFERROR(INDEX(Settings!$B$41:$B$55,MATCH($B881,Settings!$A$41:$A$55,0)),"Check category"))</f>
      </c>
    </row>
    <row r="882" spans="1:7" x14ac:dyDescent="0.25">
      <c r="A882" s="22"/>
      <c r="B882" s="5"/>
      <c r="C882" s="5"/>
      <c r="D882" s="23"/>
      <c r="E882" s="5"/>
      <c r="F882" s="5"/>
      <c r="G882" s="31">
        <f>IF($B882="","",IFERROR(INDEX(Settings!$B$41:$B$55,MATCH($B882,Settings!$A$41:$A$55,0)),"Check category"))</f>
      </c>
    </row>
    <row r="883" spans="1:7" x14ac:dyDescent="0.25">
      <c r="A883" s="22"/>
      <c r="B883" s="5"/>
      <c r="C883" s="5"/>
      <c r="D883" s="23"/>
      <c r="E883" s="5"/>
      <c r="F883" s="5"/>
      <c r="G883" s="31">
        <f>IF($B883="","",IFERROR(INDEX(Settings!$B$41:$B$55,MATCH($B883,Settings!$A$41:$A$55,0)),"Check category"))</f>
      </c>
    </row>
    <row r="884" spans="1:7" x14ac:dyDescent="0.25">
      <c r="A884" s="22"/>
      <c r="B884" s="5"/>
      <c r="C884" s="5"/>
      <c r="D884" s="23"/>
      <c r="E884" s="5"/>
      <c r="F884" s="5"/>
      <c r="G884" s="31">
        <f>IF($B884="","",IFERROR(INDEX(Settings!$B$41:$B$55,MATCH($B884,Settings!$A$41:$A$55,0)),"Check category"))</f>
      </c>
    </row>
    <row r="885" spans="1:7" x14ac:dyDescent="0.25">
      <c r="A885" s="22"/>
      <c r="B885" s="5"/>
      <c r="C885" s="5"/>
      <c r="D885" s="23"/>
      <c r="E885" s="5"/>
      <c r="F885" s="5"/>
      <c r="G885" s="31">
        <f>IF($B885="","",IFERROR(INDEX(Settings!$B$41:$B$55,MATCH($B885,Settings!$A$41:$A$55,0)),"Check category"))</f>
      </c>
    </row>
    <row r="886" spans="1:7" x14ac:dyDescent="0.25">
      <c r="A886" s="22"/>
      <c r="B886" s="5"/>
      <c r="C886" s="5"/>
      <c r="D886" s="23"/>
      <c r="E886" s="5"/>
      <c r="F886" s="5"/>
      <c r="G886" s="31">
        <f>IF($B886="","",IFERROR(INDEX(Settings!$B$41:$B$55,MATCH($B886,Settings!$A$41:$A$55,0)),"Check category"))</f>
      </c>
    </row>
    <row r="887" spans="1:7" x14ac:dyDescent="0.25">
      <c r="A887" s="22"/>
      <c r="B887" s="5"/>
      <c r="C887" s="5"/>
      <c r="D887" s="23"/>
      <c r="E887" s="5"/>
      <c r="F887" s="5"/>
      <c r="G887" s="31">
        <f>IF($B887="","",IFERROR(INDEX(Settings!$B$41:$B$55,MATCH($B887,Settings!$A$41:$A$55,0)),"Check category"))</f>
      </c>
    </row>
    <row r="888" spans="1:7" x14ac:dyDescent="0.25">
      <c r="A888" s="22"/>
      <c r="B888" s="5"/>
      <c r="C888" s="5"/>
      <c r="D888" s="23"/>
      <c r="E888" s="5"/>
      <c r="F888" s="5"/>
      <c r="G888" s="31">
        <f>IF($B888="","",IFERROR(INDEX(Settings!$B$41:$B$55,MATCH($B888,Settings!$A$41:$A$55,0)),"Check category"))</f>
      </c>
    </row>
    <row r="889" spans="1:7" x14ac:dyDescent="0.25">
      <c r="A889" s="22"/>
      <c r="B889" s="5"/>
      <c r="C889" s="5"/>
      <c r="D889" s="23"/>
      <c r="E889" s="5"/>
      <c r="F889" s="5"/>
      <c r="G889" s="31">
        <f>IF($B889="","",IFERROR(INDEX(Settings!$B$41:$B$55,MATCH($B889,Settings!$A$41:$A$55,0)),"Check category"))</f>
      </c>
    </row>
    <row r="890" spans="1:7" x14ac:dyDescent="0.25">
      <c r="A890" s="22"/>
      <c r="B890" s="5"/>
      <c r="C890" s="5"/>
      <c r="D890" s="23"/>
      <c r="E890" s="5"/>
      <c r="F890" s="5"/>
      <c r="G890" s="31">
        <f>IF($B890="","",IFERROR(INDEX(Settings!$B$41:$B$55,MATCH($B890,Settings!$A$41:$A$55,0)),"Check category"))</f>
      </c>
    </row>
    <row r="891" spans="1:7" x14ac:dyDescent="0.25">
      <c r="A891" s="22"/>
      <c r="B891" s="5"/>
      <c r="C891" s="5"/>
      <c r="D891" s="23"/>
      <c r="E891" s="5"/>
      <c r="F891" s="5"/>
      <c r="G891" s="31">
        <f>IF($B891="","",IFERROR(INDEX(Settings!$B$41:$B$55,MATCH($B891,Settings!$A$41:$A$55,0)),"Check category"))</f>
      </c>
    </row>
    <row r="892" spans="1:7" x14ac:dyDescent="0.25">
      <c r="A892" s="22"/>
      <c r="B892" s="5"/>
      <c r="C892" s="5"/>
      <c r="D892" s="23"/>
      <c r="E892" s="5"/>
      <c r="F892" s="5"/>
      <c r="G892" s="31">
        <f>IF($B892="","",IFERROR(INDEX(Settings!$B$41:$B$55,MATCH($B892,Settings!$A$41:$A$55,0)),"Check category"))</f>
      </c>
    </row>
    <row r="893" spans="1:7" x14ac:dyDescent="0.25">
      <c r="A893" s="22"/>
      <c r="B893" s="5"/>
      <c r="C893" s="5"/>
      <c r="D893" s="23"/>
      <c r="E893" s="5"/>
      <c r="F893" s="5"/>
      <c r="G893" s="31">
        <f>IF($B893="","",IFERROR(INDEX(Settings!$B$41:$B$55,MATCH($B893,Settings!$A$41:$A$55,0)),"Check category"))</f>
      </c>
    </row>
    <row r="894" spans="1:7" x14ac:dyDescent="0.25">
      <c r="A894" s="22"/>
      <c r="B894" s="5"/>
      <c r="C894" s="5"/>
      <c r="D894" s="23"/>
      <c r="E894" s="5"/>
      <c r="F894" s="5"/>
      <c r="G894" s="31">
        <f>IF($B894="","",IFERROR(INDEX(Settings!$B$41:$B$55,MATCH($B894,Settings!$A$41:$A$55,0)),"Check category"))</f>
      </c>
    </row>
    <row r="895" spans="1:7" x14ac:dyDescent="0.25">
      <c r="A895" s="22"/>
      <c r="B895" s="5"/>
      <c r="C895" s="5"/>
      <c r="D895" s="23"/>
      <c r="E895" s="5"/>
      <c r="F895" s="5"/>
      <c r="G895" s="31">
        <f>IF($B895="","",IFERROR(INDEX(Settings!$B$41:$B$55,MATCH($B895,Settings!$A$41:$A$55,0)),"Check category"))</f>
      </c>
    </row>
    <row r="896" spans="1:7" x14ac:dyDescent="0.25">
      <c r="A896" s="22"/>
      <c r="B896" s="5"/>
      <c r="C896" s="5"/>
      <c r="D896" s="23"/>
      <c r="E896" s="5"/>
      <c r="F896" s="5"/>
      <c r="G896" s="31">
        <f>IF($B896="","",IFERROR(INDEX(Settings!$B$41:$B$55,MATCH($B896,Settings!$A$41:$A$55,0)),"Check category"))</f>
      </c>
    </row>
    <row r="897" spans="1:7" x14ac:dyDescent="0.25">
      <c r="A897" s="22"/>
      <c r="B897" s="5"/>
      <c r="C897" s="5"/>
      <c r="D897" s="23"/>
      <c r="E897" s="5"/>
      <c r="F897" s="5"/>
      <c r="G897" s="31">
        <f>IF($B897="","",IFERROR(INDEX(Settings!$B$41:$B$55,MATCH($B897,Settings!$A$41:$A$55,0)),"Check category"))</f>
      </c>
    </row>
    <row r="898" spans="1:7" x14ac:dyDescent="0.25">
      <c r="A898" s="22"/>
      <c r="B898" s="5"/>
      <c r="C898" s="5"/>
      <c r="D898" s="23"/>
      <c r="E898" s="5"/>
      <c r="F898" s="5"/>
      <c r="G898" s="31">
        <f>IF($B898="","",IFERROR(INDEX(Settings!$B$41:$B$55,MATCH($B898,Settings!$A$41:$A$55,0)),"Check category"))</f>
      </c>
    </row>
    <row r="899" spans="1:7" x14ac:dyDescent="0.25">
      <c r="A899" s="22"/>
      <c r="B899" s="5"/>
      <c r="C899" s="5"/>
      <c r="D899" s="23"/>
      <c r="E899" s="5"/>
      <c r="F899" s="5"/>
      <c r="G899" s="31">
        <f>IF($B899="","",IFERROR(INDEX(Settings!$B$41:$B$55,MATCH($B899,Settings!$A$41:$A$55,0)),"Check category"))</f>
      </c>
    </row>
    <row r="900" spans="1:7" x14ac:dyDescent="0.25">
      <c r="A900" s="22"/>
      <c r="B900" s="5"/>
      <c r="C900" s="5"/>
      <c r="D900" s="23"/>
      <c r="E900" s="5"/>
      <c r="F900" s="5"/>
      <c r="G900" s="31">
        <f>IF($B900="","",IFERROR(INDEX(Settings!$B$41:$B$55,MATCH($B900,Settings!$A$41:$A$55,0)),"Check category"))</f>
      </c>
    </row>
    <row r="901" spans="1:7" x14ac:dyDescent="0.25">
      <c r="A901" s="22"/>
      <c r="B901" s="5"/>
      <c r="C901" s="5"/>
      <c r="D901" s="23"/>
      <c r="E901" s="5"/>
      <c r="F901" s="5"/>
      <c r="G901" s="31">
        <f>IF($B901="","",IFERROR(INDEX(Settings!$B$41:$B$55,MATCH($B901,Settings!$A$41:$A$55,0)),"Check category"))</f>
      </c>
    </row>
    <row r="902" spans="1:7" x14ac:dyDescent="0.25">
      <c r="A902" s="22"/>
      <c r="B902" s="5"/>
      <c r="C902" s="5"/>
      <c r="D902" s="23"/>
      <c r="E902" s="5"/>
      <c r="F902" s="5"/>
      <c r="G902" s="31">
        <f>IF($B902="","",IFERROR(INDEX(Settings!$B$41:$B$55,MATCH($B902,Settings!$A$41:$A$55,0)),"Check category"))</f>
      </c>
    </row>
    <row r="903" spans="1:7" x14ac:dyDescent="0.25">
      <c r="A903" s="22"/>
      <c r="B903" s="5"/>
      <c r="C903" s="5"/>
      <c r="D903" s="23"/>
      <c r="E903" s="5"/>
      <c r="F903" s="5"/>
      <c r="G903" s="31">
        <f>IF($B903="","",IFERROR(INDEX(Settings!$B$41:$B$55,MATCH($B903,Settings!$A$41:$A$55,0)),"Check category"))</f>
      </c>
    </row>
    <row r="904" spans="1:7" x14ac:dyDescent="0.25">
      <c r="A904" s="22"/>
      <c r="B904" s="5"/>
      <c r="C904" s="5"/>
      <c r="D904" s="23"/>
      <c r="E904" s="5"/>
      <c r="F904" s="5"/>
      <c r="G904" s="31">
        <f>IF($B904="","",IFERROR(INDEX(Settings!$B$41:$B$55,MATCH($B904,Settings!$A$41:$A$55,0)),"Check category"))</f>
      </c>
    </row>
    <row r="905" spans="1:7" x14ac:dyDescent="0.25">
      <c r="A905" s="22"/>
      <c r="B905" s="5"/>
      <c r="C905" s="5"/>
      <c r="D905" s="23"/>
      <c r="E905" s="5"/>
      <c r="F905" s="5"/>
      <c r="G905" s="31">
        <f>IF($B905="","",IFERROR(INDEX(Settings!$B$41:$B$55,MATCH($B905,Settings!$A$41:$A$55,0)),"Check category"))</f>
      </c>
    </row>
    <row r="906" spans="1:7" x14ac:dyDescent="0.25">
      <c r="A906" s="22"/>
      <c r="B906" s="5"/>
      <c r="C906" s="5"/>
      <c r="D906" s="23"/>
      <c r="E906" s="5"/>
      <c r="F906" s="5"/>
      <c r="G906" s="31">
        <f>IF($B906="","",IFERROR(INDEX(Settings!$B$41:$B$55,MATCH($B906,Settings!$A$41:$A$55,0)),"Check category"))</f>
      </c>
    </row>
    <row r="907" spans="1:7" x14ac:dyDescent="0.25">
      <c r="A907" s="22"/>
      <c r="B907" s="5"/>
      <c r="C907" s="5"/>
      <c r="D907" s="23"/>
      <c r="E907" s="5"/>
      <c r="F907" s="5"/>
      <c r="G907" s="31">
        <f>IF($B907="","",IFERROR(INDEX(Settings!$B$41:$B$55,MATCH($B907,Settings!$A$41:$A$55,0)),"Check category"))</f>
      </c>
    </row>
    <row r="908" spans="1:7" x14ac:dyDescent="0.25">
      <c r="A908" s="22"/>
      <c r="B908" s="5"/>
      <c r="C908" s="5"/>
      <c r="D908" s="23"/>
      <c r="E908" s="5"/>
      <c r="F908" s="5"/>
      <c r="G908" s="31">
        <f>IF($B908="","",IFERROR(INDEX(Settings!$B$41:$B$55,MATCH($B908,Settings!$A$41:$A$55,0)),"Check category"))</f>
      </c>
    </row>
    <row r="909" spans="1:7" x14ac:dyDescent="0.25">
      <c r="A909" s="22"/>
      <c r="B909" s="5"/>
      <c r="C909" s="5"/>
      <c r="D909" s="23"/>
      <c r="E909" s="5"/>
      <c r="F909" s="5"/>
      <c r="G909" s="31">
        <f>IF($B909="","",IFERROR(INDEX(Settings!$B$41:$B$55,MATCH($B909,Settings!$A$41:$A$55,0)),"Check category"))</f>
      </c>
    </row>
    <row r="910" spans="1:7" x14ac:dyDescent="0.25">
      <c r="A910" s="22"/>
      <c r="B910" s="5"/>
      <c r="C910" s="5"/>
      <c r="D910" s="23"/>
      <c r="E910" s="5"/>
      <c r="F910" s="5"/>
      <c r="G910" s="31">
        <f>IF($B910="","",IFERROR(INDEX(Settings!$B$41:$B$55,MATCH($B910,Settings!$A$41:$A$55,0)),"Check category"))</f>
      </c>
    </row>
    <row r="911" spans="1:7" x14ac:dyDescent="0.25">
      <c r="A911" s="22"/>
      <c r="B911" s="5"/>
      <c r="C911" s="5"/>
      <c r="D911" s="23"/>
      <c r="E911" s="5"/>
      <c r="F911" s="5"/>
      <c r="G911" s="31">
        <f>IF($B911="","",IFERROR(INDEX(Settings!$B$41:$B$55,MATCH($B911,Settings!$A$41:$A$55,0)),"Check category"))</f>
      </c>
    </row>
    <row r="912" spans="1:7" x14ac:dyDescent="0.25">
      <c r="A912" s="22"/>
      <c r="B912" s="5"/>
      <c r="C912" s="5"/>
      <c r="D912" s="23"/>
      <c r="E912" s="5"/>
      <c r="F912" s="5"/>
      <c r="G912" s="31">
        <f>IF($B912="","",IFERROR(INDEX(Settings!$B$41:$B$55,MATCH($B912,Settings!$A$41:$A$55,0)),"Check category"))</f>
      </c>
    </row>
    <row r="913" spans="1:7" x14ac:dyDescent="0.25">
      <c r="A913" s="22"/>
      <c r="B913" s="5"/>
      <c r="C913" s="5"/>
      <c r="D913" s="23"/>
      <c r="E913" s="5"/>
      <c r="F913" s="5"/>
      <c r="G913" s="31">
        <f>IF($B913="","",IFERROR(INDEX(Settings!$B$41:$B$55,MATCH($B913,Settings!$A$41:$A$55,0)),"Check category"))</f>
      </c>
    </row>
    <row r="914" spans="1:7" x14ac:dyDescent="0.25">
      <c r="A914" s="22"/>
      <c r="B914" s="5"/>
      <c r="C914" s="5"/>
      <c r="D914" s="23"/>
      <c r="E914" s="5"/>
      <c r="F914" s="5"/>
      <c r="G914" s="31">
        <f>IF($B914="","",IFERROR(INDEX(Settings!$B$41:$B$55,MATCH($B914,Settings!$A$41:$A$55,0)),"Check category"))</f>
      </c>
    </row>
    <row r="915" spans="1:7" x14ac:dyDescent="0.25">
      <c r="A915" s="22"/>
      <c r="B915" s="5"/>
      <c r="C915" s="5"/>
      <c r="D915" s="23"/>
      <c r="E915" s="5"/>
      <c r="F915" s="5"/>
      <c r="G915" s="31">
        <f>IF($B915="","",IFERROR(INDEX(Settings!$B$41:$B$55,MATCH($B915,Settings!$A$41:$A$55,0)),"Check category"))</f>
      </c>
    </row>
    <row r="916" spans="1:7" x14ac:dyDescent="0.25">
      <c r="A916" s="22"/>
      <c r="B916" s="5"/>
      <c r="C916" s="5"/>
      <c r="D916" s="23"/>
      <c r="E916" s="5"/>
      <c r="F916" s="5"/>
      <c r="G916" s="31">
        <f>IF($B916="","",IFERROR(INDEX(Settings!$B$41:$B$55,MATCH($B916,Settings!$A$41:$A$55,0)),"Check category"))</f>
      </c>
    </row>
    <row r="917" spans="1:7" x14ac:dyDescent="0.25">
      <c r="A917" s="22"/>
      <c r="B917" s="5"/>
      <c r="C917" s="5"/>
      <c r="D917" s="23"/>
      <c r="E917" s="5"/>
      <c r="F917" s="5"/>
      <c r="G917" s="31">
        <f>IF($B917="","",IFERROR(INDEX(Settings!$B$41:$B$55,MATCH($B917,Settings!$A$41:$A$55,0)),"Check category"))</f>
      </c>
    </row>
    <row r="918" spans="1:7" x14ac:dyDescent="0.25">
      <c r="A918" s="22"/>
      <c r="B918" s="5"/>
      <c r="C918" s="5"/>
      <c r="D918" s="23"/>
      <c r="E918" s="5"/>
      <c r="F918" s="5"/>
      <c r="G918" s="31">
        <f>IF($B918="","",IFERROR(INDEX(Settings!$B$41:$B$55,MATCH($B918,Settings!$A$41:$A$55,0)),"Check category"))</f>
      </c>
    </row>
    <row r="919" spans="1:7" x14ac:dyDescent="0.25">
      <c r="A919" s="22"/>
      <c r="B919" s="5"/>
      <c r="C919" s="5"/>
      <c r="D919" s="23"/>
      <c r="E919" s="5"/>
      <c r="F919" s="5"/>
      <c r="G919" s="31">
        <f>IF($B919="","",IFERROR(INDEX(Settings!$B$41:$B$55,MATCH($B919,Settings!$A$41:$A$55,0)),"Check category"))</f>
      </c>
    </row>
    <row r="920" spans="1:7" x14ac:dyDescent="0.25">
      <c r="A920" s="22"/>
      <c r="B920" s="5"/>
      <c r="C920" s="5"/>
      <c r="D920" s="23"/>
      <c r="E920" s="5"/>
      <c r="F920" s="5"/>
      <c r="G920" s="31">
        <f>IF($B920="","",IFERROR(INDEX(Settings!$B$41:$B$55,MATCH($B920,Settings!$A$41:$A$55,0)),"Check category"))</f>
      </c>
    </row>
    <row r="921" spans="1:7" x14ac:dyDescent="0.25">
      <c r="A921" s="22"/>
      <c r="B921" s="5"/>
      <c r="C921" s="5"/>
      <c r="D921" s="23"/>
      <c r="E921" s="5"/>
      <c r="F921" s="5"/>
      <c r="G921" s="31">
        <f>IF($B921="","",IFERROR(INDEX(Settings!$B$41:$B$55,MATCH($B921,Settings!$A$41:$A$55,0)),"Check category"))</f>
      </c>
    </row>
    <row r="922" spans="1:7" x14ac:dyDescent="0.25">
      <c r="A922" s="22"/>
      <c r="B922" s="5"/>
      <c r="C922" s="5"/>
      <c r="D922" s="23"/>
      <c r="E922" s="5"/>
      <c r="F922" s="5"/>
      <c r="G922" s="31">
        <f>IF($B922="","",IFERROR(INDEX(Settings!$B$41:$B$55,MATCH($B922,Settings!$A$41:$A$55,0)),"Check category"))</f>
      </c>
    </row>
    <row r="923" spans="1:7" x14ac:dyDescent="0.25">
      <c r="A923" s="22"/>
      <c r="B923" s="5"/>
      <c r="C923" s="5"/>
      <c r="D923" s="23"/>
      <c r="E923" s="5"/>
      <c r="F923" s="5"/>
      <c r="G923" s="31">
        <f>IF($B923="","",IFERROR(INDEX(Settings!$B$41:$B$55,MATCH($B923,Settings!$A$41:$A$55,0)),"Check category"))</f>
      </c>
    </row>
    <row r="924" spans="1:7" x14ac:dyDescent="0.25">
      <c r="A924" s="22"/>
      <c r="B924" s="5"/>
      <c r="C924" s="5"/>
      <c r="D924" s="23"/>
      <c r="E924" s="5"/>
      <c r="F924" s="5"/>
      <c r="G924" s="31">
        <f>IF($B924="","",IFERROR(INDEX(Settings!$B$41:$B$55,MATCH($B924,Settings!$A$41:$A$55,0)),"Check category"))</f>
      </c>
    </row>
    <row r="925" spans="1:7" x14ac:dyDescent="0.25">
      <c r="A925" s="22"/>
      <c r="B925" s="5"/>
      <c r="C925" s="5"/>
      <c r="D925" s="23"/>
      <c r="E925" s="5"/>
      <c r="F925" s="5"/>
      <c r="G925" s="31">
        <f>IF($B925="","",IFERROR(INDEX(Settings!$B$41:$B$55,MATCH($B925,Settings!$A$41:$A$55,0)),"Check category"))</f>
      </c>
    </row>
    <row r="926" spans="1:7" x14ac:dyDescent="0.25">
      <c r="A926" s="22"/>
      <c r="B926" s="5"/>
      <c r="C926" s="5"/>
      <c r="D926" s="23"/>
      <c r="E926" s="5"/>
      <c r="F926" s="5"/>
      <c r="G926" s="31">
        <f>IF($B926="","",IFERROR(INDEX(Settings!$B$41:$B$55,MATCH($B926,Settings!$A$41:$A$55,0)),"Check category"))</f>
      </c>
    </row>
    <row r="927" spans="1:7" x14ac:dyDescent="0.25">
      <c r="A927" s="22"/>
      <c r="B927" s="5"/>
      <c r="C927" s="5"/>
      <c r="D927" s="23"/>
      <c r="E927" s="5"/>
      <c r="F927" s="5"/>
      <c r="G927" s="31">
        <f>IF($B927="","",IFERROR(INDEX(Settings!$B$41:$B$55,MATCH($B927,Settings!$A$41:$A$55,0)),"Check category"))</f>
      </c>
    </row>
    <row r="928" spans="1:7" x14ac:dyDescent="0.25">
      <c r="A928" s="22"/>
      <c r="B928" s="5"/>
      <c r="C928" s="5"/>
      <c r="D928" s="23"/>
      <c r="E928" s="5"/>
      <c r="F928" s="5"/>
      <c r="G928" s="31">
        <f>IF($B928="","",IFERROR(INDEX(Settings!$B$41:$B$55,MATCH($B928,Settings!$A$41:$A$55,0)),"Check category"))</f>
      </c>
    </row>
    <row r="929" spans="1:7" x14ac:dyDescent="0.25">
      <c r="A929" s="22"/>
      <c r="B929" s="5"/>
      <c r="C929" s="5"/>
      <c r="D929" s="23"/>
      <c r="E929" s="5"/>
      <c r="F929" s="5"/>
      <c r="G929" s="31">
        <f>IF($B929="","",IFERROR(INDEX(Settings!$B$41:$B$55,MATCH($B929,Settings!$A$41:$A$55,0)),"Check category"))</f>
      </c>
    </row>
    <row r="930" spans="1:7" x14ac:dyDescent="0.25">
      <c r="A930" s="22"/>
      <c r="B930" s="5"/>
      <c r="C930" s="5"/>
      <c r="D930" s="23"/>
      <c r="E930" s="5"/>
      <c r="F930" s="5"/>
      <c r="G930" s="31">
        <f>IF($B930="","",IFERROR(INDEX(Settings!$B$41:$B$55,MATCH($B930,Settings!$A$41:$A$55,0)),"Check category"))</f>
      </c>
    </row>
    <row r="931" spans="1:7" x14ac:dyDescent="0.25">
      <c r="A931" s="22"/>
      <c r="B931" s="5"/>
      <c r="C931" s="5"/>
      <c r="D931" s="23"/>
      <c r="E931" s="5"/>
      <c r="F931" s="5"/>
      <c r="G931" s="31">
        <f>IF($B931="","",IFERROR(INDEX(Settings!$B$41:$B$55,MATCH($B931,Settings!$A$41:$A$55,0)),"Check category"))</f>
      </c>
    </row>
    <row r="932" spans="1:7" x14ac:dyDescent="0.25">
      <c r="A932" s="22"/>
      <c r="B932" s="5"/>
      <c r="C932" s="5"/>
      <c r="D932" s="23"/>
      <c r="E932" s="5"/>
      <c r="F932" s="5"/>
      <c r="G932" s="31">
        <f>IF($B932="","",IFERROR(INDEX(Settings!$B$41:$B$55,MATCH($B932,Settings!$A$41:$A$55,0)),"Check category"))</f>
      </c>
    </row>
    <row r="933" spans="1:7" x14ac:dyDescent="0.25">
      <c r="A933" s="22"/>
      <c r="B933" s="5"/>
      <c r="C933" s="5"/>
      <c r="D933" s="23"/>
      <c r="E933" s="5"/>
      <c r="F933" s="5"/>
      <c r="G933" s="31">
        <f>IF($B933="","",IFERROR(INDEX(Settings!$B$41:$B$55,MATCH($B933,Settings!$A$41:$A$55,0)),"Check category"))</f>
      </c>
    </row>
    <row r="934" spans="1:7" x14ac:dyDescent="0.25">
      <c r="A934" s="22"/>
      <c r="B934" s="5"/>
      <c r="C934" s="5"/>
      <c r="D934" s="23"/>
      <c r="E934" s="5"/>
      <c r="F934" s="5"/>
      <c r="G934" s="31">
        <f>IF($B934="","",IFERROR(INDEX(Settings!$B$41:$B$55,MATCH($B934,Settings!$A$41:$A$55,0)),"Check category"))</f>
      </c>
    </row>
    <row r="935" spans="1:7" x14ac:dyDescent="0.25">
      <c r="A935" s="22"/>
      <c r="B935" s="5"/>
      <c r="C935" s="5"/>
      <c r="D935" s="23"/>
      <c r="E935" s="5"/>
      <c r="F935" s="5"/>
      <c r="G935" s="31">
        <f>IF($B935="","",IFERROR(INDEX(Settings!$B$41:$B$55,MATCH($B935,Settings!$A$41:$A$55,0)),"Check category"))</f>
      </c>
    </row>
    <row r="936" spans="1:7" x14ac:dyDescent="0.25">
      <c r="A936" s="22"/>
      <c r="B936" s="5"/>
      <c r="C936" s="5"/>
      <c r="D936" s="23"/>
      <c r="E936" s="5"/>
      <c r="F936" s="5"/>
      <c r="G936" s="31">
        <f>IF($B936="","",IFERROR(INDEX(Settings!$B$41:$B$55,MATCH($B936,Settings!$A$41:$A$55,0)),"Check category"))</f>
      </c>
    </row>
    <row r="937" spans="1:7" x14ac:dyDescent="0.25">
      <c r="A937" s="22"/>
      <c r="B937" s="5"/>
      <c r="C937" s="5"/>
      <c r="D937" s="23"/>
      <c r="E937" s="5"/>
      <c r="F937" s="5"/>
      <c r="G937" s="31">
        <f>IF($B937="","",IFERROR(INDEX(Settings!$B$41:$B$55,MATCH($B937,Settings!$A$41:$A$55,0)),"Check category"))</f>
      </c>
    </row>
    <row r="938" spans="1:7" x14ac:dyDescent="0.25">
      <c r="A938" s="22"/>
      <c r="B938" s="5"/>
      <c r="C938" s="5"/>
      <c r="D938" s="23"/>
      <c r="E938" s="5"/>
      <c r="F938" s="5"/>
      <c r="G938" s="31">
        <f>IF($B938="","",IFERROR(INDEX(Settings!$B$41:$B$55,MATCH($B938,Settings!$A$41:$A$55,0)),"Check category"))</f>
      </c>
    </row>
    <row r="939" spans="1:7" x14ac:dyDescent="0.25">
      <c r="A939" s="22"/>
      <c r="B939" s="5"/>
      <c r="C939" s="5"/>
      <c r="D939" s="23"/>
      <c r="E939" s="5"/>
      <c r="F939" s="5"/>
      <c r="G939" s="31">
        <f>IF($B939="","",IFERROR(INDEX(Settings!$B$41:$B$55,MATCH($B939,Settings!$A$41:$A$55,0)),"Check category"))</f>
      </c>
    </row>
    <row r="940" spans="1:7" x14ac:dyDescent="0.25">
      <c r="A940" s="22"/>
      <c r="B940" s="5"/>
      <c r="C940" s="5"/>
      <c r="D940" s="23"/>
      <c r="E940" s="5"/>
      <c r="F940" s="5"/>
      <c r="G940" s="31">
        <f>IF($B940="","",IFERROR(INDEX(Settings!$B$41:$B$55,MATCH($B940,Settings!$A$41:$A$55,0)),"Check category"))</f>
      </c>
    </row>
    <row r="941" spans="1:7" x14ac:dyDescent="0.25">
      <c r="A941" s="22"/>
      <c r="B941" s="5"/>
      <c r="C941" s="5"/>
      <c r="D941" s="23"/>
      <c r="E941" s="5"/>
      <c r="F941" s="5"/>
      <c r="G941" s="31">
        <f>IF($B941="","",IFERROR(INDEX(Settings!$B$41:$B$55,MATCH($B941,Settings!$A$41:$A$55,0)),"Check category"))</f>
      </c>
    </row>
    <row r="942" spans="1:7" x14ac:dyDescent="0.25">
      <c r="A942" s="22"/>
      <c r="B942" s="5"/>
      <c r="C942" s="5"/>
      <c r="D942" s="23"/>
      <c r="E942" s="5"/>
      <c r="F942" s="5"/>
      <c r="G942" s="31">
        <f>IF($B942="","",IFERROR(INDEX(Settings!$B$41:$B$55,MATCH($B942,Settings!$A$41:$A$55,0)),"Check category"))</f>
      </c>
    </row>
    <row r="943" spans="1:7" x14ac:dyDescent="0.25">
      <c r="A943" s="22"/>
      <c r="B943" s="5"/>
      <c r="C943" s="5"/>
      <c r="D943" s="23"/>
      <c r="E943" s="5"/>
      <c r="F943" s="5"/>
      <c r="G943" s="31">
        <f>IF($B943="","",IFERROR(INDEX(Settings!$B$41:$B$55,MATCH($B943,Settings!$A$41:$A$55,0)),"Check category"))</f>
      </c>
    </row>
    <row r="944" spans="1:7" x14ac:dyDescent="0.25">
      <c r="A944" s="22"/>
      <c r="B944" s="5"/>
      <c r="C944" s="5"/>
      <c r="D944" s="23"/>
      <c r="E944" s="5"/>
      <c r="F944" s="5"/>
      <c r="G944" s="31">
        <f>IF($B944="","",IFERROR(INDEX(Settings!$B$41:$B$55,MATCH($B944,Settings!$A$41:$A$55,0)),"Check category"))</f>
      </c>
    </row>
    <row r="945" spans="1:7" x14ac:dyDescent="0.25">
      <c r="A945" s="22"/>
      <c r="B945" s="5"/>
      <c r="C945" s="5"/>
      <c r="D945" s="23"/>
      <c r="E945" s="5"/>
      <c r="F945" s="5"/>
      <c r="G945" s="31">
        <f>IF($B945="","",IFERROR(INDEX(Settings!$B$41:$B$55,MATCH($B945,Settings!$A$41:$A$55,0)),"Check category"))</f>
      </c>
    </row>
    <row r="946" spans="1:7" x14ac:dyDescent="0.25">
      <c r="A946" s="22"/>
      <c r="B946" s="5"/>
      <c r="C946" s="5"/>
      <c r="D946" s="23"/>
      <c r="E946" s="5"/>
      <c r="F946" s="5"/>
      <c r="G946" s="31">
        <f>IF($B946="","",IFERROR(INDEX(Settings!$B$41:$B$55,MATCH($B946,Settings!$A$41:$A$55,0)),"Check category"))</f>
      </c>
    </row>
    <row r="947" spans="1:7" x14ac:dyDescent="0.25">
      <c r="A947" s="22"/>
      <c r="B947" s="5"/>
      <c r="C947" s="5"/>
      <c r="D947" s="23"/>
      <c r="E947" s="5"/>
      <c r="F947" s="5"/>
      <c r="G947" s="31">
        <f>IF($B947="","",IFERROR(INDEX(Settings!$B$41:$B$55,MATCH($B947,Settings!$A$41:$A$55,0)),"Check category"))</f>
      </c>
    </row>
    <row r="948" spans="1:7" x14ac:dyDescent="0.25">
      <c r="A948" s="22"/>
      <c r="B948" s="5"/>
      <c r="C948" s="5"/>
      <c r="D948" s="23"/>
      <c r="E948" s="5"/>
      <c r="F948" s="5"/>
      <c r="G948" s="31">
        <f>IF($B948="","",IFERROR(INDEX(Settings!$B$41:$B$55,MATCH($B948,Settings!$A$41:$A$55,0)),"Check category"))</f>
      </c>
    </row>
    <row r="949" spans="1:7" x14ac:dyDescent="0.25">
      <c r="A949" s="22"/>
      <c r="B949" s="5"/>
      <c r="C949" s="5"/>
      <c r="D949" s="23"/>
      <c r="E949" s="5"/>
      <c r="F949" s="5"/>
      <c r="G949" s="31">
        <f>IF($B949="","",IFERROR(INDEX(Settings!$B$41:$B$55,MATCH($B949,Settings!$A$41:$A$55,0)),"Check category"))</f>
      </c>
    </row>
    <row r="950" spans="1:7" x14ac:dyDescent="0.25">
      <c r="A950" s="22"/>
      <c r="B950" s="5"/>
      <c r="C950" s="5"/>
      <c r="D950" s="23"/>
      <c r="E950" s="5"/>
      <c r="F950" s="5"/>
      <c r="G950" s="31">
        <f>IF($B950="","",IFERROR(INDEX(Settings!$B$41:$B$55,MATCH($B950,Settings!$A$41:$A$55,0)),"Check category"))</f>
      </c>
    </row>
    <row r="951" spans="1:7" x14ac:dyDescent="0.25">
      <c r="A951" s="22"/>
      <c r="B951" s="5"/>
      <c r="C951" s="5"/>
      <c r="D951" s="23"/>
      <c r="E951" s="5"/>
      <c r="F951" s="5"/>
      <c r="G951" s="31">
        <f>IF($B951="","",IFERROR(INDEX(Settings!$B$41:$B$55,MATCH($B951,Settings!$A$41:$A$55,0)),"Check category"))</f>
      </c>
    </row>
    <row r="952" spans="1:7" x14ac:dyDescent="0.25">
      <c r="A952" s="22"/>
      <c r="B952" s="5"/>
      <c r="C952" s="5"/>
      <c r="D952" s="23"/>
      <c r="E952" s="5"/>
      <c r="F952" s="5"/>
      <c r="G952" s="31">
        <f>IF($B952="","",IFERROR(INDEX(Settings!$B$41:$B$55,MATCH($B952,Settings!$A$41:$A$55,0)),"Check category"))</f>
      </c>
    </row>
    <row r="953" spans="1:7" x14ac:dyDescent="0.25">
      <c r="A953" s="22"/>
      <c r="B953" s="5"/>
      <c r="C953" s="5"/>
      <c r="D953" s="23"/>
      <c r="E953" s="5"/>
      <c r="F953" s="5"/>
      <c r="G953" s="31">
        <f>IF($B953="","",IFERROR(INDEX(Settings!$B$41:$B$55,MATCH($B953,Settings!$A$41:$A$55,0)),"Check category"))</f>
      </c>
    </row>
    <row r="954" spans="1:7" x14ac:dyDescent="0.25">
      <c r="A954" s="22"/>
      <c r="B954" s="5"/>
      <c r="C954" s="5"/>
      <c r="D954" s="23"/>
      <c r="E954" s="5"/>
      <c r="F954" s="5"/>
      <c r="G954" s="31">
        <f>IF($B954="","",IFERROR(INDEX(Settings!$B$41:$B$55,MATCH($B954,Settings!$A$41:$A$55,0)),"Check category"))</f>
      </c>
    </row>
    <row r="955" spans="1:7" x14ac:dyDescent="0.25">
      <c r="A955" s="22"/>
      <c r="B955" s="5"/>
      <c r="C955" s="5"/>
      <c r="D955" s="23"/>
      <c r="E955" s="5"/>
      <c r="F955" s="5"/>
      <c r="G955" s="31">
        <f>IF($B955="","",IFERROR(INDEX(Settings!$B$41:$B$55,MATCH($B955,Settings!$A$41:$A$55,0)),"Check category"))</f>
      </c>
    </row>
    <row r="956" spans="1:7" x14ac:dyDescent="0.25">
      <c r="A956" s="22"/>
      <c r="B956" s="5"/>
      <c r="C956" s="5"/>
      <c r="D956" s="23"/>
      <c r="E956" s="5"/>
      <c r="F956" s="5"/>
      <c r="G956" s="31">
        <f>IF($B956="","",IFERROR(INDEX(Settings!$B$41:$B$55,MATCH($B956,Settings!$A$41:$A$55,0)),"Check category"))</f>
      </c>
    </row>
    <row r="957" spans="1:7" x14ac:dyDescent="0.25">
      <c r="A957" s="22"/>
      <c r="B957" s="5"/>
      <c r="C957" s="5"/>
      <c r="D957" s="23"/>
      <c r="E957" s="5"/>
      <c r="F957" s="5"/>
      <c r="G957" s="31">
        <f>IF($B957="","",IFERROR(INDEX(Settings!$B$41:$B$55,MATCH($B957,Settings!$A$41:$A$55,0)),"Check category"))</f>
      </c>
    </row>
    <row r="958" spans="1:7" x14ac:dyDescent="0.25">
      <c r="A958" s="22"/>
      <c r="B958" s="5"/>
      <c r="C958" s="5"/>
      <c r="D958" s="23"/>
      <c r="E958" s="5"/>
      <c r="F958" s="5"/>
      <c r="G958" s="31">
        <f>IF($B958="","",IFERROR(INDEX(Settings!$B$41:$B$55,MATCH($B958,Settings!$A$41:$A$55,0)),"Check category"))</f>
      </c>
    </row>
    <row r="959" spans="1:7" x14ac:dyDescent="0.25">
      <c r="A959" s="22"/>
      <c r="B959" s="5"/>
      <c r="C959" s="5"/>
      <c r="D959" s="23"/>
      <c r="E959" s="5"/>
      <c r="F959" s="5"/>
      <c r="G959" s="31">
        <f>IF($B959="","",IFERROR(INDEX(Settings!$B$41:$B$55,MATCH($B959,Settings!$A$41:$A$55,0)),"Check category"))</f>
      </c>
    </row>
    <row r="960" spans="1:7" x14ac:dyDescent="0.25">
      <c r="A960" s="22"/>
      <c r="B960" s="5"/>
      <c r="C960" s="5"/>
      <c r="D960" s="23"/>
      <c r="E960" s="5"/>
      <c r="F960" s="5"/>
      <c r="G960" s="31">
        <f>IF($B960="","",IFERROR(INDEX(Settings!$B$41:$B$55,MATCH($B960,Settings!$A$41:$A$55,0)),"Check category"))</f>
      </c>
    </row>
    <row r="961" spans="1:7" x14ac:dyDescent="0.25">
      <c r="A961" s="22"/>
      <c r="B961" s="5"/>
      <c r="C961" s="5"/>
      <c r="D961" s="23"/>
      <c r="E961" s="5"/>
      <c r="F961" s="5"/>
      <c r="G961" s="31">
        <f>IF($B961="","",IFERROR(INDEX(Settings!$B$41:$B$55,MATCH($B961,Settings!$A$41:$A$55,0)),"Check category"))</f>
      </c>
    </row>
    <row r="962" spans="1:7" x14ac:dyDescent="0.25">
      <c r="A962" s="22"/>
      <c r="B962" s="5"/>
      <c r="C962" s="5"/>
      <c r="D962" s="23"/>
      <c r="E962" s="5"/>
      <c r="F962" s="5"/>
      <c r="G962" s="31">
        <f>IF($B962="","",IFERROR(INDEX(Settings!$B$41:$B$55,MATCH($B962,Settings!$A$41:$A$55,0)),"Check category"))</f>
      </c>
    </row>
    <row r="963" spans="1:7" x14ac:dyDescent="0.25">
      <c r="A963" s="22"/>
      <c r="B963" s="5"/>
      <c r="C963" s="5"/>
      <c r="D963" s="23"/>
      <c r="E963" s="5"/>
      <c r="F963" s="5"/>
      <c r="G963" s="31">
        <f>IF($B963="","",IFERROR(INDEX(Settings!$B$41:$B$55,MATCH($B963,Settings!$A$41:$A$55,0)),"Check category"))</f>
      </c>
    </row>
    <row r="964" spans="1:7" x14ac:dyDescent="0.25">
      <c r="A964" s="22"/>
      <c r="B964" s="5"/>
      <c r="C964" s="5"/>
      <c r="D964" s="23"/>
      <c r="E964" s="5"/>
      <c r="F964" s="5"/>
      <c r="G964" s="31">
        <f>IF($B964="","",IFERROR(INDEX(Settings!$B$41:$B$55,MATCH($B964,Settings!$A$41:$A$55,0)),"Check category"))</f>
      </c>
    </row>
    <row r="965" spans="1:7" x14ac:dyDescent="0.25">
      <c r="A965" s="22"/>
      <c r="B965" s="5"/>
      <c r="C965" s="5"/>
      <c r="D965" s="23"/>
      <c r="E965" s="5"/>
      <c r="F965" s="5"/>
      <c r="G965" s="31">
        <f>IF($B965="","",IFERROR(INDEX(Settings!$B$41:$B$55,MATCH($B965,Settings!$A$41:$A$55,0)),"Check category"))</f>
      </c>
    </row>
    <row r="966" spans="1:7" x14ac:dyDescent="0.25">
      <c r="A966" s="22"/>
      <c r="B966" s="5"/>
      <c r="C966" s="5"/>
      <c r="D966" s="23"/>
      <c r="E966" s="5"/>
      <c r="F966" s="5"/>
      <c r="G966" s="31">
        <f>IF($B966="","",IFERROR(INDEX(Settings!$B$41:$B$55,MATCH($B966,Settings!$A$41:$A$55,0)),"Check category"))</f>
      </c>
    </row>
    <row r="967" spans="1:7" x14ac:dyDescent="0.25">
      <c r="A967" s="22"/>
      <c r="B967" s="5"/>
      <c r="C967" s="5"/>
      <c r="D967" s="23"/>
      <c r="E967" s="5"/>
      <c r="F967" s="5"/>
      <c r="G967" s="31">
        <f>IF($B967="","",IFERROR(INDEX(Settings!$B$41:$B$55,MATCH($B967,Settings!$A$41:$A$55,0)),"Check category"))</f>
      </c>
    </row>
    <row r="968" spans="1:7" x14ac:dyDescent="0.25">
      <c r="A968" s="22"/>
      <c r="B968" s="5"/>
      <c r="C968" s="5"/>
      <c r="D968" s="23"/>
      <c r="E968" s="5"/>
      <c r="F968" s="5"/>
      <c r="G968" s="31">
        <f>IF($B968="","",IFERROR(INDEX(Settings!$B$41:$B$55,MATCH($B968,Settings!$A$41:$A$55,0)),"Check category"))</f>
      </c>
    </row>
    <row r="969" spans="1:7" x14ac:dyDescent="0.25">
      <c r="A969" s="22"/>
      <c r="B969" s="5"/>
      <c r="C969" s="5"/>
      <c r="D969" s="23"/>
      <c r="E969" s="5"/>
      <c r="F969" s="5"/>
      <c r="G969" s="31">
        <f>IF($B969="","",IFERROR(INDEX(Settings!$B$41:$B$55,MATCH($B969,Settings!$A$41:$A$55,0)),"Check category"))</f>
      </c>
    </row>
    <row r="970" spans="1:7" x14ac:dyDescent="0.25">
      <c r="A970" s="22"/>
      <c r="B970" s="5"/>
      <c r="C970" s="5"/>
      <c r="D970" s="23"/>
      <c r="E970" s="5"/>
      <c r="F970" s="5"/>
      <c r="G970" s="31">
        <f>IF($B970="","",IFERROR(INDEX(Settings!$B$41:$B$55,MATCH($B970,Settings!$A$41:$A$55,0)),"Check category"))</f>
      </c>
    </row>
    <row r="971" spans="1:7" x14ac:dyDescent="0.25">
      <c r="A971" s="22"/>
      <c r="B971" s="5"/>
      <c r="C971" s="5"/>
      <c r="D971" s="23"/>
      <c r="E971" s="5"/>
      <c r="F971" s="5"/>
      <c r="G971" s="31">
        <f>IF($B971="","",IFERROR(INDEX(Settings!$B$41:$B$55,MATCH($B971,Settings!$A$41:$A$55,0)),"Check category"))</f>
      </c>
    </row>
    <row r="972" spans="1:7" x14ac:dyDescent="0.25">
      <c r="A972" s="22"/>
      <c r="B972" s="5"/>
      <c r="C972" s="5"/>
      <c r="D972" s="23"/>
      <c r="E972" s="5"/>
      <c r="F972" s="5"/>
      <c r="G972" s="31">
        <f>IF($B972="","",IFERROR(INDEX(Settings!$B$41:$B$55,MATCH($B972,Settings!$A$41:$A$55,0)),"Check category"))</f>
      </c>
    </row>
    <row r="973" spans="1:7" x14ac:dyDescent="0.25">
      <c r="A973" s="22"/>
      <c r="B973" s="5"/>
      <c r="C973" s="5"/>
      <c r="D973" s="23"/>
      <c r="E973" s="5"/>
      <c r="F973" s="5"/>
      <c r="G973" s="31">
        <f>IF($B973="","",IFERROR(INDEX(Settings!$B$41:$B$55,MATCH($B973,Settings!$A$41:$A$55,0)),"Check category"))</f>
      </c>
    </row>
    <row r="974" spans="1:7" x14ac:dyDescent="0.25">
      <c r="A974" s="22"/>
      <c r="B974" s="5"/>
      <c r="C974" s="5"/>
      <c r="D974" s="23"/>
      <c r="E974" s="5"/>
      <c r="F974" s="5"/>
      <c r="G974" s="31">
        <f>IF($B974="","",IFERROR(INDEX(Settings!$B$41:$B$55,MATCH($B974,Settings!$A$41:$A$55,0)),"Check category"))</f>
      </c>
    </row>
    <row r="975" spans="1:7" x14ac:dyDescent="0.25">
      <c r="A975" s="22"/>
      <c r="B975" s="5"/>
      <c r="C975" s="5"/>
      <c r="D975" s="23"/>
      <c r="E975" s="5"/>
      <c r="F975" s="5"/>
      <c r="G975" s="31">
        <f>IF($B975="","",IFERROR(INDEX(Settings!$B$41:$B$55,MATCH($B975,Settings!$A$41:$A$55,0)),"Check category"))</f>
      </c>
    </row>
    <row r="976" spans="1:7" x14ac:dyDescent="0.25">
      <c r="A976" s="22"/>
      <c r="B976" s="5"/>
      <c r="C976" s="5"/>
      <c r="D976" s="23"/>
      <c r="E976" s="5"/>
      <c r="F976" s="5"/>
      <c r="G976" s="31">
        <f>IF($B976="","",IFERROR(INDEX(Settings!$B$41:$B$55,MATCH($B976,Settings!$A$41:$A$55,0)),"Check category"))</f>
      </c>
    </row>
    <row r="977" spans="1:7" x14ac:dyDescent="0.25">
      <c r="A977" s="22"/>
      <c r="B977" s="5"/>
      <c r="C977" s="5"/>
      <c r="D977" s="23"/>
      <c r="E977" s="5"/>
      <c r="F977" s="5"/>
      <c r="G977" s="31">
        <f>IF($B977="","",IFERROR(INDEX(Settings!$B$41:$B$55,MATCH($B977,Settings!$A$41:$A$55,0)),"Check category"))</f>
      </c>
    </row>
    <row r="978" spans="1:7" x14ac:dyDescent="0.25">
      <c r="A978" s="22"/>
      <c r="B978" s="5"/>
      <c r="C978" s="5"/>
      <c r="D978" s="23"/>
      <c r="E978" s="5"/>
      <c r="F978" s="5"/>
      <c r="G978" s="31">
        <f>IF($B978="","",IFERROR(INDEX(Settings!$B$41:$B$55,MATCH($B978,Settings!$A$41:$A$55,0)),"Check category"))</f>
      </c>
    </row>
    <row r="979" spans="1:7" x14ac:dyDescent="0.25">
      <c r="A979" s="22"/>
      <c r="B979" s="5"/>
      <c r="C979" s="5"/>
      <c r="D979" s="23"/>
      <c r="E979" s="5"/>
      <c r="F979" s="5"/>
      <c r="G979" s="31">
        <f>IF($B979="","",IFERROR(INDEX(Settings!$B$41:$B$55,MATCH($B979,Settings!$A$41:$A$55,0)),"Check category"))</f>
      </c>
    </row>
    <row r="980" spans="1:7" x14ac:dyDescent="0.25">
      <c r="A980" s="22"/>
      <c r="B980" s="5"/>
      <c r="C980" s="5"/>
      <c r="D980" s="23"/>
      <c r="E980" s="5"/>
      <c r="F980" s="5"/>
      <c r="G980" s="31">
        <f>IF($B980="","",IFERROR(INDEX(Settings!$B$41:$B$55,MATCH($B980,Settings!$A$41:$A$55,0)),"Check category"))</f>
      </c>
    </row>
    <row r="981" spans="1:7" x14ac:dyDescent="0.25">
      <c r="A981" s="22"/>
      <c r="B981" s="5"/>
      <c r="C981" s="5"/>
      <c r="D981" s="23"/>
      <c r="E981" s="5"/>
      <c r="F981" s="5"/>
      <c r="G981" s="31">
        <f>IF($B981="","",IFERROR(INDEX(Settings!$B$41:$B$55,MATCH($B981,Settings!$A$41:$A$55,0)),"Check category"))</f>
      </c>
    </row>
    <row r="982" spans="1:7" x14ac:dyDescent="0.25">
      <c r="A982" s="22"/>
      <c r="B982" s="5"/>
      <c r="C982" s="5"/>
      <c r="D982" s="23"/>
      <c r="E982" s="5"/>
      <c r="F982" s="5"/>
      <c r="G982" s="31">
        <f>IF($B982="","",IFERROR(INDEX(Settings!$B$41:$B$55,MATCH($B982,Settings!$A$41:$A$55,0)),"Check category"))</f>
      </c>
    </row>
    <row r="983" spans="1:7" x14ac:dyDescent="0.25">
      <c r="A983" s="22"/>
      <c r="B983" s="5"/>
      <c r="C983" s="5"/>
      <c r="D983" s="23"/>
      <c r="E983" s="5"/>
      <c r="F983" s="5"/>
      <c r="G983" s="31">
        <f>IF($B983="","",IFERROR(INDEX(Settings!$B$41:$B$55,MATCH($B983,Settings!$A$41:$A$55,0)),"Check category"))</f>
      </c>
    </row>
    <row r="984" spans="1:7" x14ac:dyDescent="0.25">
      <c r="A984" s="22"/>
      <c r="B984" s="5"/>
      <c r="C984" s="5"/>
      <c r="D984" s="23"/>
      <c r="E984" s="5"/>
      <c r="F984" s="5"/>
      <c r="G984" s="31">
        <f>IF($B984="","",IFERROR(INDEX(Settings!$B$41:$B$55,MATCH($B984,Settings!$A$41:$A$55,0)),"Check category"))</f>
      </c>
    </row>
    <row r="985" spans="1:7" x14ac:dyDescent="0.25">
      <c r="A985" s="22"/>
      <c r="B985" s="5"/>
      <c r="C985" s="5"/>
      <c r="D985" s="23"/>
      <c r="E985" s="5"/>
      <c r="F985" s="5"/>
      <c r="G985" s="31">
        <f>IF($B985="","",IFERROR(INDEX(Settings!$B$41:$B$55,MATCH($B985,Settings!$A$41:$A$55,0)),"Check category"))</f>
      </c>
    </row>
    <row r="986" spans="1:7" x14ac:dyDescent="0.25">
      <c r="A986" s="22"/>
      <c r="B986" s="5"/>
      <c r="C986" s="5"/>
      <c r="D986" s="23"/>
      <c r="E986" s="5"/>
      <c r="F986" s="5"/>
      <c r="G986" s="31">
        <f>IF($B986="","",IFERROR(INDEX(Settings!$B$41:$B$55,MATCH($B986,Settings!$A$41:$A$55,0)),"Check category"))</f>
      </c>
    </row>
    <row r="987" spans="1:7" x14ac:dyDescent="0.25">
      <c r="A987" s="22"/>
      <c r="B987" s="5"/>
      <c r="C987" s="5"/>
      <c r="D987" s="23"/>
      <c r="E987" s="5"/>
      <c r="F987" s="5"/>
      <c r="G987" s="31">
        <f>IF($B987="","",IFERROR(INDEX(Settings!$B$41:$B$55,MATCH($B987,Settings!$A$41:$A$55,0)),"Check category"))</f>
      </c>
    </row>
    <row r="988" spans="1:7" x14ac:dyDescent="0.25">
      <c r="A988" s="22"/>
      <c r="B988" s="5"/>
      <c r="C988" s="5"/>
      <c r="D988" s="23"/>
      <c r="E988" s="5"/>
      <c r="F988" s="5"/>
      <c r="G988" s="31">
        <f>IF($B988="","",IFERROR(INDEX(Settings!$B$41:$B$55,MATCH($B988,Settings!$A$41:$A$55,0)),"Check category"))</f>
      </c>
    </row>
    <row r="989" spans="1:7" x14ac:dyDescent="0.25">
      <c r="A989" s="22"/>
      <c r="B989" s="5"/>
      <c r="C989" s="5"/>
      <c r="D989" s="23"/>
      <c r="E989" s="5"/>
      <c r="F989" s="5"/>
      <c r="G989" s="31">
        <f>IF($B989="","",IFERROR(INDEX(Settings!$B$41:$B$55,MATCH($B989,Settings!$A$41:$A$55,0)),"Check category"))</f>
      </c>
    </row>
    <row r="990" spans="1:7" x14ac:dyDescent="0.25">
      <c r="A990" s="22"/>
      <c r="B990" s="5"/>
      <c r="C990" s="5"/>
      <c r="D990" s="23"/>
      <c r="E990" s="5"/>
      <c r="F990" s="5"/>
      <c r="G990" s="31">
        <f>IF($B990="","",IFERROR(INDEX(Settings!$B$41:$B$55,MATCH($B990,Settings!$A$41:$A$55,0)),"Check category"))</f>
      </c>
    </row>
    <row r="991" spans="1:7" x14ac:dyDescent="0.25">
      <c r="A991" s="22"/>
      <c r="B991" s="5"/>
      <c r="C991" s="5"/>
      <c r="D991" s="23"/>
      <c r="E991" s="5"/>
      <c r="F991" s="5"/>
      <c r="G991" s="31">
        <f>IF($B991="","",IFERROR(INDEX(Settings!$B$41:$B$55,MATCH($B991,Settings!$A$41:$A$55,0)),"Check category"))</f>
      </c>
    </row>
    <row r="992" spans="1:7" x14ac:dyDescent="0.25">
      <c r="A992" s="22"/>
      <c r="B992" s="5"/>
      <c r="C992" s="5"/>
      <c r="D992" s="23"/>
      <c r="E992" s="5"/>
      <c r="F992" s="5"/>
      <c r="G992" s="31">
        <f>IF($B992="","",IFERROR(INDEX(Settings!$B$41:$B$55,MATCH($B992,Settings!$A$41:$A$55,0)),"Check category"))</f>
      </c>
    </row>
    <row r="993" spans="1:7" x14ac:dyDescent="0.25">
      <c r="A993" s="22"/>
      <c r="B993" s="5"/>
      <c r="C993" s="5"/>
      <c r="D993" s="23"/>
      <c r="E993" s="5"/>
      <c r="F993" s="5"/>
      <c r="G993" s="31">
        <f>IF($B993="","",IFERROR(INDEX(Settings!$B$41:$B$55,MATCH($B993,Settings!$A$41:$A$55,0)),"Check category"))</f>
      </c>
    </row>
    <row r="994" spans="1:7" x14ac:dyDescent="0.25">
      <c r="A994" s="22"/>
      <c r="B994" s="5"/>
      <c r="C994" s="5"/>
      <c r="D994" s="23"/>
      <c r="E994" s="5"/>
      <c r="F994" s="5"/>
      <c r="G994" s="31">
        <f>IF($B994="","",IFERROR(INDEX(Settings!$B$41:$B$55,MATCH($B994,Settings!$A$41:$A$55,0)),"Check category"))</f>
      </c>
    </row>
    <row r="995" spans="1:7" x14ac:dyDescent="0.25">
      <c r="A995" s="22"/>
      <c r="B995" s="5"/>
      <c r="C995" s="5"/>
      <c r="D995" s="23"/>
      <c r="E995" s="5"/>
      <c r="F995" s="5"/>
      <c r="G995" s="31">
        <f>IF($B995="","",IFERROR(INDEX(Settings!$B$41:$B$55,MATCH($B995,Settings!$A$41:$A$55,0)),"Check category"))</f>
      </c>
    </row>
    <row r="996" spans="1:7" x14ac:dyDescent="0.25">
      <c r="A996" s="22"/>
      <c r="B996" s="5"/>
      <c r="C996" s="5"/>
      <c r="D996" s="23"/>
      <c r="E996" s="5"/>
      <c r="F996" s="5"/>
      <c r="G996" s="31">
        <f>IF($B996="","",IFERROR(INDEX(Settings!$B$41:$B$55,MATCH($B996,Settings!$A$41:$A$55,0)),"Check category"))</f>
      </c>
    </row>
    <row r="997" spans="1:7" x14ac:dyDescent="0.25">
      <c r="A997" s="22"/>
      <c r="B997" s="5"/>
      <c r="C997" s="5"/>
      <c r="D997" s="23"/>
      <c r="E997" s="5"/>
      <c r="F997" s="5"/>
      <c r="G997" s="31">
        <f>IF($B997="","",IFERROR(INDEX(Settings!$B$41:$B$55,MATCH($B997,Settings!$A$41:$A$55,0)),"Check category"))</f>
      </c>
    </row>
    <row r="998" spans="1:7" x14ac:dyDescent="0.25">
      <c r="A998" s="22"/>
      <c r="B998" s="5"/>
      <c r="C998" s="5"/>
      <c r="D998" s="23"/>
      <c r="E998" s="5"/>
      <c r="F998" s="5"/>
      <c r="G998" s="31">
        <f>IF($B998="","",IFERROR(INDEX(Settings!$B$41:$B$55,MATCH($B998,Settings!$A$41:$A$55,0)),"Check category"))</f>
      </c>
    </row>
    <row r="999" spans="1:7" x14ac:dyDescent="0.25">
      <c r="A999" s="22"/>
      <c r="B999" s="5"/>
      <c r="C999" s="5"/>
      <c r="D999" s="23"/>
      <c r="E999" s="5"/>
      <c r="F999" s="5"/>
      <c r="G999" s="31">
        <f>IF($B999="","",IFERROR(INDEX(Settings!$B$41:$B$55,MATCH($B999,Settings!$A$41:$A$55,0)),"Check category"))</f>
      </c>
    </row>
    <row r="1000" spans="1:7" x14ac:dyDescent="0.25">
      <c r="A1000" s="22"/>
      <c r="B1000" s="5"/>
      <c r="C1000" s="5"/>
      <c r="D1000" s="23"/>
      <c r="E1000" s="5"/>
      <c r="F1000" s="5"/>
      <c r="G1000" s="31">
        <f>IF($B1000="","",IFERROR(INDEX(Settings!$B$41:$B$55,MATCH($B1000,Settings!$A$41:$A$55,0)),"Check category"))</f>
      </c>
    </row>
    <row r="1001" spans="1:7" x14ac:dyDescent="0.25">
      <c r="A1001" s="22"/>
      <c r="B1001" s="5"/>
      <c r="C1001" s="5"/>
      <c r="D1001" s="23"/>
      <c r="E1001" s="5"/>
      <c r="F1001" s="5"/>
      <c r="G1001" s="31">
        <f>IF($B1001="","",IFERROR(INDEX(Settings!$B$41:$B$55,MATCH($B1001,Settings!$A$41:$A$55,0)),"Check category"))</f>
      </c>
    </row>
    <row r="1002" spans="1:7" x14ac:dyDescent="0.25">
      <c r="A1002" s="22"/>
      <c r="B1002" s="5"/>
      <c r="C1002" s="5"/>
      <c r="D1002" s="23"/>
      <c r="E1002" s="5"/>
      <c r="F1002" s="5"/>
      <c r="G1002" s="31">
        <f>IF($B1002="","",IFERROR(INDEX(Settings!$B$41:$B$55,MATCH($B1002,Settings!$A$41:$A$55,0)),"Check category"))</f>
      </c>
    </row>
    <row r="1003" spans="1:7" x14ac:dyDescent="0.25">
      <c r="A1003" s="22"/>
      <c r="B1003" s="5"/>
      <c r="C1003" s="5"/>
      <c r="D1003" s="23"/>
      <c r="E1003" s="5"/>
      <c r="F1003" s="5"/>
      <c r="G1003" s="31">
        <f>IF($B1003="","",IFERROR(INDEX(Settings!$B$41:$B$55,MATCH($B1003,Settings!$A$41:$A$55,0)),"Check category"))</f>
      </c>
    </row>
    <row r="1004" spans="1:7" x14ac:dyDescent="0.25">
      <c r="A1004" s="22"/>
      <c r="B1004" s="5"/>
      <c r="C1004" s="5"/>
      <c r="D1004" s="23"/>
      <c r="E1004" s="5"/>
      <c r="F1004" s="5"/>
      <c r="G1004" s="31">
        <f>IF($B1004="","",IFERROR(INDEX(Settings!$B$41:$B$55,MATCH($B1004,Settings!$A$41:$A$55,0)),"Check category"))</f>
      </c>
    </row>
    <row r="1005" spans="1:7" x14ac:dyDescent="0.25">
      <c r="A1005" s="22"/>
      <c r="B1005" s="5"/>
      <c r="C1005" s="5"/>
      <c r="D1005" s="23"/>
      <c r="E1005" s="5"/>
      <c r="F1005" s="5"/>
      <c r="G1005" s="31">
        <f>IF($B1005="","",IFERROR(INDEX(Settings!$B$41:$B$55,MATCH($B1005,Settings!$A$41:$A$55,0)),"Check category"))</f>
      </c>
    </row>
    <row r="1006" spans="1:7" x14ac:dyDescent="0.25">
      <c r="A1006" s="22"/>
      <c r="B1006" s="5"/>
      <c r="C1006" s="5"/>
      <c r="D1006" s="23"/>
      <c r="E1006" s="5"/>
      <c r="F1006" s="5"/>
      <c r="G1006" s="31">
        <f>IF($B1006="","",IFERROR(INDEX(Settings!$B$41:$B$55,MATCH($B1006,Settings!$A$41:$A$55,0)),"Check category"))</f>
      </c>
    </row>
    <row r="1007" spans="1:7" x14ac:dyDescent="0.25">
      <c r="A1007" s="22"/>
      <c r="B1007" s="5"/>
      <c r="C1007" s="5"/>
      <c r="D1007" s="23"/>
      <c r="E1007" s="5"/>
      <c r="F1007" s="5"/>
      <c r="G1007" s="31">
        <f>IF($B1007="","",IFERROR(INDEX(Settings!$B$41:$B$55,MATCH($B1007,Settings!$A$41:$A$55,0)),"Check category"))</f>
      </c>
    </row>
    <row r="1008" spans="1:7" x14ac:dyDescent="0.25">
      <c r="A1008" s="22"/>
      <c r="B1008" s="5"/>
      <c r="C1008" s="5"/>
      <c r="D1008" s="23"/>
      <c r="E1008" s="5"/>
      <c r="F1008" s="5"/>
      <c r="G1008" s="31">
        <f>IF($B1008="","",IFERROR(INDEX(Settings!$B$41:$B$55,MATCH($B1008,Settings!$A$41:$A$55,0)),"Check category"))</f>
      </c>
    </row>
    <row r="1009" spans="1:7" x14ac:dyDescent="0.25">
      <c r="A1009" s="22"/>
      <c r="B1009" s="5"/>
      <c r="C1009" s="5"/>
      <c r="D1009" s="23"/>
      <c r="E1009" s="5"/>
      <c r="F1009" s="5"/>
      <c r="G1009" s="31">
        <f>IF($B1009="","",IFERROR(INDEX(Settings!$B$41:$B$55,MATCH($B1009,Settings!$A$41:$A$55,0)),"Check category"))</f>
      </c>
    </row>
    <row r="1010" spans="1:7" x14ac:dyDescent="0.25">
      <c r="A1010" s="22"/>
      <c r="B1010" s="5"/>
      <c r="C1010" s="5"/>
      <c r="D1010" s="23"/>
      <c r="E1010" s="5"/>
      <c r="F1010" s="5"/>
      <c r="G1010" s="31">
        <f>IF($B1010="","",IFERROR(INDEX(Settings!$B$41:$B$55,MATCH($B1010,Settings!$A$41:$A$55,0)),"Check category"))</f>
      </c>
    </row>
    <row r="1011" spans="1:7" x14ac:dyDescent="0.25">
      <c r="A1011" s="22"/>
      <c r="B1011" s="5"/>
      <c r="C1011" s="5"/>
      <c r="D1011" s="23"/>
      <c r="E1011" s="5"/>
      <c r="F1011" s="5"/>
      <c r="G1011" s="31">
        <f>IF($B1011="","",IFERROR(INDEX(Settings!$B$41:$B$55,MATCH($B1011,Settings!$A$41:$A$55,0)),"Check category"))</f>
      </c>
    </row>
    <row r="1012" spans="1:7" x14ac:dyDescent="0.25">
      <c r="A1012" s="22"/>
      <c r="B1012" s="5"/>
      <c r="C1012" s="5"/>
      <c r="D1012" s="23"/>
      <c r="E1012" s="5"/>
      <c r="F1012" s="5"/>
      <c r="G1012" s="31">
        <f>IF($B1012="","",IFERROR(INDEX(Settings!$B$41:$B$55,MATCH($B1012,Settings!$A$41:$A$55,0)),"Check category"))</f>
      </c>
    </row>
    <row r="1013" spans="1:7" x14ac:dyDescent="0.25">
      <c r="A1013" s="22"/>
      <c r="B1013" s="5"/>
      <c r="C1013" s="5"/>
      <c r="D1013" s="23"/>
      <c r="E1013" s="5"/>
      <c r="F1013" s="5"/>
      <c r="G1013" s="31">
        <f>IF($B1013="","",IFERROR(INDEX(Settings!$B$41:$B$55,MATCH($B1013,Settings!$A$41:$A$55,0)),"Check category"))</f>
      </c>
    </row>
    <row r="1014" spans="1:7" x14ac:dyDescent="0.25">
      <c r="A1014" s="22"/>
      <c r="B1014" s="5"/>
      <c r="C1014" s="5"/>
      <c r="D1014" s="23"/>
      <c r="E1014" s="5"/>
      <c r="F1014" s="5"/>
      <c r="G1014" s="31">
        <f>IF($B1014="","",IFERROR(INDEX(Settings!$B$41:$B$55,MATCH($B1014,Settings!$A$41:$A$55,0)),"Check category"))</f>
      </c>
    </row>
    <row r="1015" spans="1:7" x14ac:dyDescent="0.25">
      <c r="A1015" s="22"/>
      <c r="B1015" s="5"/>
      <c r="C1015" s="5"/>
      <c r="D1015" s="23"/>
      <c r="E1015" s="5"/>
      <c r="F1015" s="5"/>
      <c r="G1015" s="31">
        <f>IF($B1015="","",IFERROR(INDEX(Settings!$B$41:$B$55,MATCH($B1015,Settings!$A$41:$A$55,0)),"Check category"))</f>
      </c>
    </row>
    <row r="1016" spans="1:7" x14ac:dyDescent="0.25">
      <c r="A1016" s="22"/>
      <c r="B1016" s="5"/>
      <c r="C1016" s="5"/>
      <c r="D1016" s="23"/>
      <c r="E1016" s="5"/>
      <c r="F1016" s="5"/>
      <c r="G1016" s="31">
        <f>IF($B1016="","",IFERROR(INDEX(Settings!$B$41:$B$55,MATCH($B1016,Settings!$A$41:$A$55,0)),"Check category"))</f>
      </c>
    </row>
    <row r="1017" spans="1:7" x14ac:dyDescent="0.25">
      <c r="A1017" s="22"/>
      <c r="B1017" s="5"/>
      <c r="C1017" s="5"/>
      <c r="D1017" s="23"/>
      <c r="E1017" s="5"/>
      <c r="F1017" s="5"/>
      <c r="G1017" s="31">
        <f>IF($B1017="","",IFERROR(INDEX(Settings!$B$41:$B$55,MATCH($B1017,Settings!$A$41:$A$55,0)),"Check category"))</f>
      </c>
    </row>
    <row r="1018" spans="1:7" x14ac:dyDescent="0.25">
      <c r="A1018" s="22"/>
      <c r="B1018" s="5"/>
      <c r="C1018" s="5"/>
      <c r="D1018" s="23"/>
      <c r="E1018" s="5"/>
      <c r="F1018" s="5"/>
      <c r="G1018" s="31">
        <f>IF($B1018="","",IFERROR(INDEX(Settings!$B$41:$B$55,MATCH($B1018,Settings!$A$41:$A$55,0)),"Check category"))</f>
      </c>
    </row>
    <row r="1019" spans="1:7" x14ac:dyDescent="0.25">
      <c r="A1019" s="22"/>
      <c r="B1019" s="5"/>
      <c r="C1019" s="5"/>
      <c r="D1019" s="23"/>
      <c r="E1019" s="5"/>
      <c r="F1019" s="5"/>
      <c r="G1019" s="31">
        <f>IF($B1019="","",IFERROR(INDEX(Settings!$B$41:$B$55,MATCH($B1019,Settings!$A$41:$A$55,0)),"Check category"))</f>
      </c>
    </row>
    <row r="1020" spans="1:7" x14ac:dyDescent="0.25">
      <c r="A1020" s="22"/>
      <c r="B1020" s="5"/>
      <c r="C1020" s="5"/>
      <c r="D1020" s="23"/>
      <c r="E1020" s="5"/>
      <c r="F1020" s="5"/>
      <c r="G1020" s="31">
        <f>IF($B1020="","",IFERROR(INDEX(Settings!$B$41:$B$55,MATCH($B1020,Settings!$A$41:$A$55,0)),"Check category"))</f>
      </c>
    </row>
    <row r="1021" spans="1:7" x14ac:dyDescent="0.25">
      <c r="A1021" s="22"/>
      <c r="B1021" s="5"/>
      <c r="C1021" s="5"/>
      <c r="D1021" s="23"/>
      <c r="E1021" s="5"/>
      <c r="F1021" s="5"/>
      <c r="G1021" s="31">
        <f>IF($B1021="","",IFERROR(INDEX(Settings!$B$41:$B$55,MATCH($B1021,Settings!$A$41:$A$55,0)),"Check category"))</f>
      </c>
    </row>
    <row r="1022" spans="1:7" x14ac:dyDescent="0.25">
      <c r="A1022" s="22"/>
      <c r="B1022" s="5"/>
      <c r="C1022" s="5"/>
      <c r="D1022" s="23"/>
      <c r="E1022" s="5"/>
      <c r="F1022" s="5"/>
      <c r="G1022" s="31">
        <f>IF($B1022="","",IFERROR(INDEX(Settings!$B$41:$B$55,MATCH($B1022,Settings!$A$41:$A$55,0)),"Check category"))</f>
      </c>
    </row>
    <row r="1023" spans="1:7" x14ac:dyDescent="0.25">
      <c r="A1023" s="22"/>
      <c r="B1023" s="5"/>
      <c r="C1023" s="5"/>
      <c r="D1023" s="23"/>
      <c r="E1023" s="5"/>
      <c r="F1023" s="5"/>
      <c r="G1023" s="31">
        <f>IF($B1023="","",IFERROR(INDEX(Settings!$B$41:$B$55,MATCH($B1023,Settings!$A$41:$A$55,0)),"Check category"))</f>
      </c>
    </row>
    <row r="1024" spans="1:7" x14ac:dyDescent="0.25">
      <c r="A1024" s="22"/>
      <c r="B1024" s="5"/>
      <c r="C1024" s="5"/>
      <c r="D1024" s="23"/>
      <c r="E1024" s="5"/>
      <c r="F1024" s="5"/>
      <c r="G1024" s="31">
        <f>IF($B1024="","",IFERROR(INDEX(Settings!$B$41:$B$55,MATCH($B1024,Settings!$A$41:$A$55,0)),"Check category"))</f>
      </c>
    </row>
    <row r="1025" spans="1:7" x14ac:dyDescent="0.25">
      <c r="A1025" s="22"/>
      <c r="B1025" s="5"/>
      <c r="C1025" s="5"/>
      <c r="D1025" s="23"/>
      <c r="E1025" s="5"/>
      <c r="F1025" s="5"/>
      <c r="G1025" s="31">
        <f>IF($B1025="","",IFERROR(INDEX(Settings!$B$41:$B$55,MATCH($B1025,Settings!$A$41:$A$55,0)),"Check category"))</f>
      </c>
    </row>
    <row r="1026" spans="1:7" x14ac:dyDescent="0.25">
      <c r="A1026" s="22"/>
      <c r="B1026" s="5"/>
      <c r="C1026" s="5"/>
      <c r="D1026" s="23"/>
      <c r="E1026" s="5"/>
      <c r="F1026" s="5"/>
      <c r="G1026" s="31">
        <f>IF($B1026="","",IFERROR(INDEX(Settings!$B$41:$B$55,MATCH($B1026,Settings!$A$41:$A$55,0)),"Check category"))</f>
      </c>
    </row>
    <row r="1027" spans="1:7" x14ac:dyDescent="0.25">
      <c r="A1027" s="22"/>
      <c r="B1027" s="5"/>
      <c r="C1027" s="5"/>
      <c r="D1027" s="23"/>
      <c r="E1027" s="5"/>
      <c r="F1027" s="5"/>
      <c r="G1027" s="31">
        <f>IF($B1027="","",IFERROR(INDEX(Settings!$B$41:$B$55,MATCH($B1027,Settings!$A$41:$A$55,0)),"Check category"))</f>
      </c>
    </row>
    <row r="1028" spans="1:7" x14ac:dyDescent="0.25">
      <c r="A1028" s="22"/>
      <c r="B1028" s="5"/>
      <c r="C1028" s="5"/>
      <c r="D1028" s="23"/>
      <c r="E1028" s="5"/>
      <c r="F1028" s="5"/>
      <c r="G1028" s="31">
        <f>IF($B1028="","",IFERROR(INDEX(Settings!$B$41:$B$55,MATCH($B1028,Settings!$A$41:$A$55,0)),"Check category"))</f>
      </c>
    </row>
    <row r="1029" spans="1:7" x14ac:dyDescent="0.25">
      <c r="A1029" s="22"/>
      <c r="B1029" s="5"/>
      <c r="C1029" s="5"/>
      <c r="D1029" s="23"/>
      <c r="E1029" s="5"/>
      <c r="F1029" s="5"/>
      <c r="G1029" s="31">
        <f>IF($B1029="","",IFERROR(INDEX(Settings!$B$41:$B$55,MATCH($B1029,Settings!$A$41:$A$55,0)),"Check category"))</f>
      </c>
    </row>
    <row r="1030" spans="1:7" x14ac:dyDescent="0.25">
      <c r="A1030" s="22"/>
      <c r="B1030" s="5"/>
      <c r="C1030" s="5"/>
      <c r="D1030" s="23"/>
      <c r="E1030" s="5"/>
      <c r="F1030" s="5"/>
      <c r="G1030" s="31">
        <f>IF($B1030="","",IFERROR(INDEX(Settings!$B$41:$B$55,MATCH($B1030,Settings!$A$41:$A$55,0)),"Check category"))</f>
      </c>
    </row>
    <row r="1031" spans="1:7" x14ac:dyDescent="0.25">
      <c r="A1031" s="22"/>
      <c r="B1031" s="5"/>
      <c r="C1031" s="5"/>
      <c r="D1031" s="23"/>
      <c r="E1031" s="5"/>
      <c r="F1031" s="5"/>
      <c r="G1031" s="31">
        <f>IF($B1031="","",IFERROR(INDEX(Settings!$B$41:$B$55,MATCH($B1031,Settings!$A$41:$A$55,0)),"Check category"))</f>
      </c>
    </row>
    <row r="1032" spans="1:7" x14ac:dyDescent="0.25">
      <c r="A1032" s="22"/>
      <c r="B1032" s="5"/>
      <c r="C1032" s="5"/>
      <c r="D1032" s="23"/>
      <c r="E1032" s="5"/>
      <c r="F1032" s="5"/>
      <c r="G1032" s="31">
        <f>IF($B1032="","",IFERROR(INDEX(Settings!$B$41:$B$55,MATCH($B1032,Settings!$A$41:$A$55,0)),"Check category"))</f>
      </c>
    </row>
    <row r="1033" spans="1:7" x14ac:dyDescent="0.25">
      <c r="A1033" s="22"/>
      <c r="B1033" s="5"/>
      <c r="C1033" s="5"/>
      <c r="D1033" s="23"/>
      <c r="E1033" s="5"/>
      <c r="F1033" s="5"/>
      <c r="G1033" s="31">
        <f>IF($B1033="","",IFERROR(INDEX(Settings!$B$41:$B$55,MATCH($B1033,Settings!$A$41:$A$55,0)),"Check category"))</f>
      </c>
    </row>
    <row r="1034" spans="1:7" x14ac:dyDescent="0.25">
      <c r="A1034" s="22"/>
      <c r="B1034" s="5"/>
      <c r="C1034" s="5"/>
      <c r="D1034" s="23"/>
      <c r="E1034" s="5"/>
      <c r="F1034" s="5"/>
      <c r="G1034" s="31">
        <f>IF($B1034="","",IFERROR(INDEX(Settings!$B$41:$B$55,MATCH($B1034,Settings!$A$41:$A$55,0)),"Check category"))</f>
      </c>
    </row>
    <row r="1035" spans="1:7" x14ac:dyDescent="0.25">
      <c r="A1035" s="22"/>
      <c r="B1035" s="5"/>
      <c r="C1035" s="5"/>
      <c r="D1035" s="23"/>
      <c r="E1035" s="5"/>
      <c r="F1035" s="5"/>
      <c r="G1035" s="31">
        <f>IF($B1035="","",IFERROR(INDEX(Settings!$B$41:$B$55,MATCH($B1035,Settings!$A$41:$A$55,0)),"Check category"))</f>
      </c>
    </row>
    <row r="1036" spans="1:7" x14ac:dyDescent="0.25">
      <c r="A1036" s="22"/>
      <c r="B1036" s="5"/>
      <c r="C1036" s="5"/>
      <c r="D1036" s="23"/>
      <c r="E1036" s="5"/>
      <c r="F1036" s="5"/>
      <c r="G1036" s="31">
        <f>IF($B1036="","",IFERROR(INDEX(Settings!$B$41:$B$55,MATCH($B1036,Settings!$A$41:$A$55,0)),"Check category"))</f>
      </c>
    </row>
    <row r="1037" spans="1:7" x14ac:dyDescent="0.25">
      <c r="A1037" s="22"/>
      <c r="B1037" s="5"/>
      <c r="C1037" s="5"/>
      <c r="D1037" s="23"/>
      <c r="E1037" s="5"/>
      <c r="F1037" s="5"/>
      <c r="G1037" s="31">
        <f>IF($B1037="","",IFERROR(INDEX(Settings!$B$41:$B$55,MATCH($B1037,Settings!$A$41:$A$55,0)),"Check category"))</f>
      </c>
    </row>
    <row r="1038" spans="1:7" x14ac:dyDescent="0.25">
      <c r="A1038" s="22"/>
      <c r="B1038" s="5"/>
      <c r="C1038" s="5"/>
      <c r="D1038" s="23"/>
      <c r="E1038" s="5"/>
      <c r="F1038" s="5"/>
      <c r="G1038" s="31">
        <f>IF($B1038="","",IFERROR(INDEX(Settings!$B$41:$B$55,MATCH($B1038,Settings!$A$41:$A$55,0)),"Check category"))</f>
      </c>
    </row>
    <row r="1039" spans="1:7" x14ac:dyDescent="0.25">
      <c r="A1039" s="22"/>
      <c r="B1039" s="5"/>
      <c r="C1039" s="5"/>
      <c r="D1039" s="23"/>
      <c r="E1039" s="5"/>
      <c r="F1039" s="5"/>
      <c r="G1039" s="31">
        <f>IF($B1039="","",IFERROR(INDEX(Settings!$B$41:$B$55,MATCH($B1039,Settings!$A$41:$A$55,0)),"Check category"))</f>
      </c>
    </row>
    <row r="1040" spans="1:7" x14ac:dyDescent="0.25">
      <c r="A1040" s="22"/>
      <c r="B1040" s="5"/>
      <c r="C1040" s="5"/>
      <c r="D1040" s="23"/>
      <c r="E1040" s="5"/>
      <c r="F1040" s="5"/>
      <c r="G1040" s="31">
        <f>IF($B1040="","",IFERROR(INDEX(Settings!$B$41:$B$55,MATCH($B1040,Settings!$A$41:$A$55,0)),"Check category"))</f>
      </c>
    </row>
    <row r="1041" spans="1:7" x14ac:dyDescent="0.25">
      <c r="A1041" s="22"/>
      <c r="B1041" s="5"/>
      <c r="C1041" s="5"/>
      <c r="D1041" s="23"/>
      <c r="E1041" s="5"/>
      <c r="F1041" s="5"/>
      <c r="G1041" s="31">
        <f>IF($B1041="","",IFERROR(INDEX(Settings!$B$41:$B$55,MATCH($B1041,Settings!$A$41:$A$55,0)),"Check category"))</f>
      </c>
    </row>
    <row r="1042" spans="1:7" x14ac:dyDescent="0.25">
      <c r="A1042" s="22"/>
      <c r="B1042" s="5"/>
      <c r="C1042" s="5"/>
      <c r="D1042" s="23"/>
      <c r="E1042" s="5"/>
      <c r="F1042" s="5"/>
      <c r="G1042" s="31">
        <f>IF($B1042="","",IFERROR(INDEX(Settings!$B$41:$B$55,MATCH($B1042,Settings!$A$41:$A$55,0)),"Check category"))</f>
      </c>
    </row>
    <row r="1043" spans="1:7" x14ac:dyDescent="0.25">
      <c r="A1043" s="22"/>
      <c r="B1043" s="5"/>
      <c r="C1043" s="5"/>
      <c r="D1043" s="23"/>
      <c r="E1043" s="5"/>
      <c r="F1043" s="5"/>
      <c r="G1043" s="31">
        <f>IF($B1043="","",IFERROR(INDEX(Settings!$B$41:$B$55,MATCH($B1043,Settings!$A$41:$A$55,0)),"Check category"))</f>
      </c>
    </row>
    <row r="1044" spans="1:7" x14ac:dyDescent="0.25">
      <c r="A1044" s="22"/>
      <c r="B1044" s="5"/>
      <c r="C1044" s="5"/>
      <c r="D1044" s="23"/>
      <c r="E1044" s="5"/>
      <c r="F1044" s="5"/>
      <c r="G1044" s="31">
        <f>IF($B1044="","",IFERROR(INDEX(Settings!$B$41:$B$55,MATCH($B1044,Settings!$A$41:$A$55,0)),"Check category"))</f>
      </c>
    </row>
    <row r="1045" spans="1:7" x14ac:dyDescent="0.25">
      <c r="A1045" s="22"/>
      <c r="B1045" s="5"/>
      <c r="C1045" s="5"/>
      <c r="D1045" s="23"/>
      <c r="E1045" s="5"/>
      <c r="F1045" s="5"/>
      <c r="G1045" s="31">
        <f>IF($B1045="","",IFERROR(INDEX(Settings!$B$41:$B$55,MATCH($B1045,Settings!$A$41:$A$55,0)),"Check category"))</f>
      </c>
    </row>
    <row r="1046" spans="1:7" x14ac:dyDescent="0.25">
      <c r="A1046" s="22"/>
      <c r="B1046" s="5"/>
      <c r="C1046" s="5"/>
      <c r="D1046" s="23"/>
      <c r="E1046" s="5"/>
      <c r="F1046" s="5"/>
      <c r="G1046" s="31">
        <f>IF($B1046="","",IFERROR(INDEX(Settings!$B$41:$B$55,MATCH($B1046,Settings!$A$41:$A$55,0)),"Check category"))</f>
      </c>
    </row>
    <row r="1047" spans="1:7" x14ac:dyDescent="0.25">
      <c r="A1047" s="22"/>
      <c r="B1047" s="5"/>
      <c r="C1047" s="5"/>
      <c r="D1047" s="23"/>
      <c r="E1047" s="5"/>
      <c r="F1047" s="5"/>
      <c r="G1047" s="31">
        <f>IF($B1047="","",IFERROR(INDEX(Settings!$B$41:$B$55,MATCH($B1047,Settings!$A$41:$A$55,0)),"Check category"))</f>
      </c>
    </row>
    <row r="1048" spans="1:7" x14ac:dyDescent="0.25">
      <c r="A1048" s="22"/>
      <c r="B1048" s="5"/>
      <c r="C1048" s="5"/>
      <c r="D1048" s="23"/>
      <c r="E1048" s="5"/>
      <c r="F1048" s="5"/>
      <c r="G1048" s="31">
        <f>IF($B1048="","",IFERROR(INDEX(Settings!$B$41:$B$55,MATCH($B1048,Settings!$A$41:$A$55,0)),"Check category"))</f>
      </c>
    </row>
    <row r="1049" spans="1:7" x14ac:dyDescent="0.25">
      <c r="A1049" s="22"/>
      <c r="B1049" s="5"/>
      <c r="C1049" s="5"/>
      <c r="D1049" s="23"/>
      <c r="E1049" s="5"/>
      <c r="F1049" s="5"/>
      <c r="G1049" s="31">
        <f>IF($B1049="","",IFERROR(INDEX(Settings!$B$41:$B$55,MATCH($B1049,Settings!$A$41:$A$55,0)),"Check category"))</f>
      </c>
    </row>
    <row r="1050" spans="1:7" x14ac:dyDescent="0.25">
      <c r="A1050" s="22"/>
      <c r="B1050" s="5"/>
      <c r="C1050" s="5"/>
      <c r="D1050" s="23"/>
      <c r="E1050" s="5"/>
      <c r="F1050" s="5"/>
      <c r="G1050" s="31">
        <f>IF($B1050="","",IFERROR(INDEX(Settings!$B$41:$B$55,MATCH($B1050,Settings!$A$41:$A$55,0)),"Check category"))</f>
      </c>
    </row>
    <row r="1051" spans="1:7" x14ac:dyDescent="0.25">
      <c r="A1051" s="22"/>
      <c r="B1051" s="5"/>
      <c r="C1051" s="5"/>
      <c r="D1051" s="23"/>
      <c r="E1051" s="5"/>
      <c r="F1051" s="5"/>
      <c r="G1051" s="31">
        <f>IF($B1051="","",IFERROR(INDEX(Settings!$B$41:$B$55,MATCH($B1051,Settings!$A$41:$A$55,0)),"Check category"))</f>
      </c>
    </row>
    <row r="1052" spans="1:7" x14ac:dyDescent="0.25">
      <c r="A1052" s="22"/>
      <c r="B1052" s="5"/>
      <c r="C1052" s="5"/>
      <c r="D1052" s="23"/>
      <c r="E1052" s="5"/>
      <c r="F1052" s="5"/>
      <c r="G1052" s="31">
        <f>IF($B1052="","",IFERROR(INDEX(Settings!$B$41:$B$55,MATCH($B1052,Settings!$A$41:$A$55,0)),"Check category"))</f>
      </c>
    </row>
    <row r="1053" spans="1:7" x14ac:dyDescent="0.25">
      <c r="A1053" s="22"/>
      <c r="B1053" s="5"/>
      <c r="C1053" s="5"/>
      <c r="D1053" s="23"/>
      <c r="E1053" s="5"/>
      <c r="F1053" s="5"/>
      <c r="G1053" s="31">
        <f>IF($B1053="","",IFERROR(INDEX(Settings!$B$41:$B$55,MATCH($B1053,Settings!$A$41:$A$55,0)),"Check category"))</f>
      </c>
    </row>
    <row r="1054" spans="1:7" x14ac:dyDescent="0.25">
      <c r="A1054" s="22"/>
      <c r="B1054" s="5"/>
      <c r="C1054" s="5"/>
      <c r="D1054" s="23"/>
      <c r="E1054" s="5"/>
      <c r="F1054" s="5"/>
      <c r="G1054" s="31">
        <f>IF($B1054="","",IFERROR(INDEX(Settings!$B$41:$B$55,MATCH($B1054,Settings!$A$41:$A$55,0)),"Check category"))</f>
      </c>
    </row>
    <row r="1055" spans="1:7" x14ac:dyDescent="0.25">
      <c r="A1055" s="22"/>
      <c r="B1055" s="5"/>
      <c r="C1055" s="5"/>
      <c r="D1055" s="23"/>
      <c r="E1055" s="5"/>
      <c r="F1055" s="5"/>
      <c r="G1055" s="31">
        <f>IF($B1055="","",IFERROR(INDEX(Settings!$B$41:$B$55,MATCH($B1055,Settings!$A$41:$A$55,0)),"Check category"))</f>
      </c>
    </row>
    <row r="1056" spans="1:7" x14ac:dyDescent="0.25">
      <c r="A1056" s="22"/>
      <c r="B1056" s="5"/>
      <c r="C1056" s="5"/>
      <c r="D1056" s="23"/>
      <c r="E1056" s="5"/>
      <c r="F1056" s="5"/>
      <c r="G1056" s="31">
        <f>IF($B1056="","",IFERROR(INDEX(Settings!$B$41:$B$55,MATCH($B1056,Settings!$A$41:$A$55,0)),"Check category"))</f>
      </c>
    </row>
    <row r="1057" spans="1:7" x14ac:dyDescent="0.25">
      <c r="A1057" s="22"/>
      <c r="B1057" s="5"/>
      <c r="C1057" s="5"/>
      <c r="D1057" s="23"/>
      <c r="E1057" s="5"/>
      <c r="F1057" s="5"/>
      <c r="G1057" s="31">
        <f>IF($B1057="","",IFERROR(INDEX(Settings!$B$41:$B$55,MATCH($B1057,Settings!$A$41:$A$55,0)),"Check category"))</f>
      </c>
    </row>
    <row r="1058" spans="1:7" x14ac:dyDescent="0.25">
      <c r="A1058" s="22"/>
      <c r="B1058" s="5"/>
      <c r="C1058" s="5"/>
      <c r="D1058" s="23"/>
      <c r="E1058" s="5"/>
      <c r="F1058" s="5"/>
      <c r="G1058" s="31">
        <f>IF($B1058="","",IFERROR(INDEX(Settings!$B$41:$B$55,MATCH($B1058,Settings!$A$41:$A$55,0)),"Check category"))</f>
      </c>
    </row>
    <row r="1059" spans="1:7" x14ac:dyDescent="0.25">
      <c r="A1059" s="22"/>
      <c r="B1059" s="5"/>
      <c r="C1059" s="5"/>
      <c r="D1059" s="23"/>
      <c r="E1059" s="5"/>
      <c r="F1059" s="5"/>
      <c r="G1059" s="31">
        <f>IF($B1059="","",IFERROR(INDEX(Settings!$B$41:$B$55,MATCH($B1059,Settings!$A$41:$A$55,0)),"Check category"))</f>
      </c>
    </row>
    <row r="1060" spans="1:7" x14ac:dyDescent="0.25">
      <c r="A1060" s="22"/>
      <c r="B1060" s="5"/>
      <c r="C1060" s="5"/>
      <c r="D1060" s="23"/>
      <c r="E1060" s="5"/>
      <c r="F1060" s="5"/>
      <c r="G1060" s="31">
        <f>IF($B1060="","",IFERROR(INDEX(Settings!$B$41:$B$55,MATCH($B1060,Settings!$A$41:$A$55,0)),"Check category"))</f>
      </c>
    </row>
    <row r="1061" spans="1:7" x14ac:dyDescent="0.25">
      <c r="A1061" s="22"/>
      <c r="B1061" s="5"/>
      <c r="C1061" s="5"/>
      <c r="D1061" s="23"/>
      <c r="E1061" s="5"/>
      <c r="F1061" s="5"/>
      <c r="G1061" s="31">
        <f>IF($B1061="","",IFERROR(INDEX(Settings!$B$41:$B$55,MATCH($B1061,Settings!$A$41:$A$55,0)),"Check category"))</f>
      </c>
    </row>
    <row r="1062" spans="1:7" x14ac:dyDescent="0.25">
      <c r="A1062" s="22"/>
      <c r="B1062" s="5"/>
      <c r="C1062" s="5"/>
      <c r="D1062" s="23"/>
      <c r="E1062" s="5"/>
      <c r="F1062" s="5"/>
      <c r="G1062" s="31">
        <f>IF($B1062="","",IFERROR(INDEX(Settings!$B$41:$B$55,MATCH($B1062,Settings!$A$41:$A$55,0)),"Check category"))</f>
      </c>
    </row>
    <row r="1063" spans="1:7" x14ac:dyDescent="0.25">
      <c r="A1063" s="22"/>
      <c r="B1063" s="5"/>
      <c r="C1063" s="5"/>
      <c r="D1063" s="23"/>
      <c r="E1063" s="5"/>
      <c r="F1063" s="5"/>
      <c r="G1063" s="31">
        <f>IF($B1063="","",IFERROR(INDEX(Settings!$B$41:$B$55,MATCH($B1063,Settings!$A$41:$A$55,0)),"Check category"))</f>
      </c>
    </row>
    <row r="1064" spans="1:7" x14ac:dyDescent="0.25">
      <c r="A1064" s="22"/>
      <c r="B1064" s="5"/>
      <c r="C1064" s="5"/>
      <c r="D1064" s="23"/>
      <c r="E1064" s="5"/>
      <c r="F1064" s="5"/>
      <c r="G1064" s="31">
        <f>IF($B1064="","",IFERROR(INDEX(Settings!$B$41:$B$55,MATCH($B1064,Settings!$A$41:$A$55,0)),"Check category"))</f>
      </c>
    </row>
    <row r="1065" spans="1:7" x14ac:dyDescent="0.25">
      <c r="A1065" s="22"/>
      <c r="B1065" s="5"/>
      <c r="C1065" s="5"/>
      <c r="D1065" s="23"/>
      <c r="E1065" s="5"/>
      <c r="F1065" s="5"/>
      <c r="G1065" s="31">
        <f>IF($B1065="","",IFERROR(INDEX(Settings!$B$41:$B$55,MATCH($B1065,Settings!$A$41:$A$55,0)),"Check category"))</f>
      </c>
    </row>
    <row r="1066" spans="1:7" x14ac:dyDescent="0.25">
      <c r="A1066" s="22"/>
      <c r="B1066" s="5"/>
      <c r="C1066" s="5"/>
      <c r="D1066" s="23"/>
      <c r="E1066" s="5"/>
      <c r="F1066" s="5"/>
      <c r="G1066" s="31">
        <f>IF($B1066="","",IFERROR(INDEX(Settings!$B$41:$B$55,MATCH($B1066,Settings!$A$41:$A$55,0)),"Check category"))</f>
      </c>
    </row>
    <row r="1067" spans="1:7" x14ac:dyDescent="0.25">
      <c r="A1067" s="22"/>
      <c r="B1067" s="5"/>
      <c r="C1067" s="5"/>
      <c r="D1067" s="23"/>
      <c r="E1067" s="5"/>
      <c r="F1067" s="5"/>
      <c r="G1067" s="31">
        <f>IF($B1067="","",IFERROR(INDEX(Settings!$B$41:$B$55,MATCH($B1067,Settings!$A$41:$A$55,0)),"Check category"))</f>
      </c>
    </row>
    <row r="1068" spans="1:7" x14ac:dyDescent="0.25">
      <c r="A1068" s="22"/>
      <c r="B1068" s="5"/>
      <c r="C1068" s="5"/>
      <c r="D1068" s="23"/>
      <c r="E1068" s="5"/>
      <c r="F1068" s="5"/>
      <c r="G1068" s="31">
        <f>IF($B1068="","",IFERROR(INDEX(Settings!$B$41:$B$55,MATCH($B1068,Settings!$A$41:$A$55,0)),"Check category"))</f>
      </c>
    </row>
    <row r="1069" spans="1:7" x14ac:dyDescent="0.25">
      <c r="A1069" s="22"/>
      <c r="B1069" s="5"/>
      <c r="C1069" s="5"/>
      <c r="D1069" s="23"/>
      <c r="E1069" s="5"/>
      <c r="F1069" s="5"/>
      <c r="G1069" s="31">
        <f>IF($B1069="","",IFERROR(INDEX(Settings!$B$41:$B$55,MATCH($B1069,Settings!$A$41:$A$55,0)),"Check category"))</f>
      </c>
    </row>
    <row r="1070" spans="1:7" x14ac:dyDescent="0.25">
      <c r="A1070" s="22"/>
      <c r="B1070" s="5"/>
      <c r="C1070" s="5"/>
      <c r="D1070" s="23"/>
      <c r="E1070" s="5"/>
      <c r="F1070" s="5"/>
      <c r="G1070" s="31">
        <f>IF($B1070="","",IFERROR(INDEX(Settings!$B$41:$B$55,MATCH($B1070,Settings!$A$41:$A$55,0)),"Check category"))</f>
      </c>
    </row>
    <row r="1071" spans="1:7" x14ac:dyDescent="0.25">
      <c r="A1071" s="22"/>
      <c r="B1071" s="5"/>
      <c r="C1071" s="5"/>
      <c r="D1071" s="23"/>
      <c r="E1071" s="5"/>
      <c r="F1071" s="5"/>
      <c r="G1071" s="31">
        <f>IF($B1071="","",IFERROR(INDEX(Settings!$B$41:$B$55,MATCH($B1071,Settings!$A$41:$A$55,0)),"Check category"))</f>
      </c>
    </row>
    <row r="1072" spans="1:7" x14ac:dyDescent="0.25">
      <c r="A1072" s="22"/>
      <c r="B1072" s="5"/>
      <c r="C1072" s="5"/>
      <c r="D1072" s="23"/>
      <c r="E1072" s="5"/>
      <c r="F1072" s="5"/>
      <c r="G1072" s="31">
        <f>IF($B1072="","",IFERROR(INDEX(Settings!$B$41:$B$55,MATCH($B1072,Settings!$A$41:$A$55,0)),"Check category"))</f>
      </c>
    </row>
    <row r="1073" spans="1:7" x14ac:dyDescent="0.25">
      <c r="A1073" s="22"/>
      <c r="B1073" s="5"/>
      <c r="C1073" s="5"/>
      <c r="D1073" s="23"/>
      <c r="E1073" s="5"/>
      <c r="F1073" s="5"/>
      <c r="G1073" s="31">
        <f>IF($B1073="","",IFERROR(INDEX(Settings!$B$41:$B$55,MATCH($B1073,Settings!$A$41:$A$55,0)),"Check category"))</f>
      </c>
    </row>
    <row r="1074" spans="1:7" x14ac:dyDescent="0.25">
      <c r="A1074" s="22"/>
      <c r="B1074" s="5"/>
      <c r="C1074" s="5"/>
      <c r="D1074" s="23"/>
      <c r="E1074" s="5"/>
      <c r="F1074" s="5"/>
      <c r="G1074" s="31">
        <f>IF($B1074="","",IFERROR(INDEX(Settings!$B$41:$B$55,MATCH($B1074,Settings!$A$41:$A$55,0)),"Check category"))</f>
      </c>
    </row>
    <row r="1075" spans="1:7" x14ac:dyDescent="0.25">
      <c r="A1075" s="22"/>
      <c r="B1075" s="5"/>
      <c r="C1075" s="5"/>
      <c r="D1075" s="23"/>
      <c r="E1075" s="5"/>
      <c r="F1075" s="5"/>
      <c r="G1075" s="31">
        <f>IF($B1075="","",IFERROR(INDEX(Settings!$B$41:$B$55,MATCH($B1075,Settings!$A$41:$A$55,0)),"Check category"))</f>
      </c>
    </row>
    <row r="1076" spans="1:7" x14ac:dyDescent="0.25">
      <c r="A1076" s="22"/>
      <c r="B1076" s="5"/>
      <c r="C1076" s="5"/>
      <c r="D1076" s="23"/>
      <c r="E1076" s="5"/>
      <c r="F1076" s="5"/>
      <c r="G1076" s="31">
        <f>IF($B1076="","",IFERROR(INDEX(Settings!$B$41:$B$55,MATCH($B1076,Settings!$A$41:$A$55,0)),"Check category"))</f>
      </c>
    </row>
    <row r="1077" spans="1:7" x14ac:dyDescent="0.25">
      <c r="A1077" s="22"/>
      <c r="B1077" s="5"/>
      <c r="C1077" s="5"/>
      <c r="D1077" s="23"/>
      <c r="E1077" s="5"/>
      <c r="F1077" s="5"/>
      <c r="G1077" s="31">
        <f>IF($B1077="","",IFERROR(INDEX(Settings!$B$41:$B$55,MATCH($B1077,Settings!$A$41:$A$55,0)),"Check category"))</f>
      </c>
    </row>
    <row r="1078" spans="1:7" x14ac:dyDescent="0.25">
      <c r="A1078" s="22"/>
      <c r="B1078" s="5"/>
      <c r="C1078" s="5"/>
      <c r="D1078" s="23"/>
      <c r="E1078" s="5"/>
      <c r="F1078" s="5"/>
      <c r="G1078" s="31">
        <f>IF($B1078="","",IFERROR(INDEX(Settings!$B$41:$B$55,MATCH($B1078,Settings!$A$41:$A$55,0)),"Check category"))</f>
      </c>
    </row>
    <row r="1079" spans="1:7" x14ac:dyDescent="0.25">
      <c r="A1079" s="22"/>
      <c r="B1079" s="5"/>
      <c r="C1079" s="5"/>
      <c r="D1079" s="23"/>
      <c r="E1079" s="5"/>
      <c r="F1079" s="5"/>
      <c r="G1079" s="31">
        <f>IF($B1079="","",IFERROR(INDEX(Settings!$B$41:$B$55,MATCH($B1079,Settings!$A$41:$A$55,0)),"Check category"))</f>
      </c>
    </row>
    <row r="1080" spans="1:7" x14ac:dyDescent="0.25">
      <c r="A1080" s="22"/>
      <c r="B1080" s="5"/>
      <c r="C1080" s="5"/>
      <c r="D1080" s="23"/>
      <c r="E1080" s="5"/>
      <c r="F1080" s="5"/>
      <c r="G1080" s="31">
        <f>IF($B1080="","",IFERROR(INDEX(Settings!$B$41:$B$55,MATCH($B1080,Settings!$A$41:$A$55,0)),"Check category"))</f>
      </c>
    </row>
    <row r="1081" spans="1:7" x14ac:dyDescent="0.25">
      <c r="A1081" s="22"/>
      <c r="B1081" s="5"/>
      <c r="C1081" s="5"/>
      <c r="D1081" s="23"/>
      <c r="E1081" s="5"/>
      <c r="F1081" s="5"/>
      <c r="G1081" s="31">
        <f>IF($B1081="","",IFERROR(INDEX(Settings!$B$41:$B$55,MATCH($B1081,Settings!$A$41:$A$55,0)),"Check category"))</f>
      </c>
    </row>
    <row r="1082" spans="1:7" x14ac:dyDescent="0.25">
      <c r="A1082" s="22"/>
      <c r="B1082" s="5"/>
      <c r="C1082" s="5"/>
      <c r="D1082" s="23"/>
      <c r="E1082" s="5"/>
      <c r="F1082" s="5"/>
      <c r="G1082" s="31">
        <f>IF($B1082="","",IFERROR(INDEX(Settings!$B$41:$B$55,MATCH($B1082,Settings!$A$41:$A$55,0)),"Check category"))</f>
      </c>
    </row>
    <row r="1083" spans="1:7" x14ac:dyDescent="0.25">
      <c r="A1083" s="22"/>
      <c r="B1083" s="5"/>
      <c r="C1083" s="5"/>
      <c r="D1083" s="23"/>
      <c r="E1083" s="5"/>
      <c r="F1083" s="5"/>
      <c r="G1083" s="31">
        <f>IF($B1083="","",IFERROR(INDEX(Settings!$B$41:$B$55,MATCH($B1083,Settings!$A$41:$A$55,0)),"Check category"))</f>
      </c>
    </row>
    <row r="1084" spans="1:7" x14ac:dyDescent="0.25">
      <c r="A1084" s="22"/>
      <c r="B1084" s="5"/>
      <c r="C1084" s="5"/>
      <c r="D1084" s="23"/>
      <c r="E1084" s="5"/>
      <c r="F1084" s="5"/>
      <c r="G1084" s="31">
        <f>IF($B1084="","",IFERROR(INDEX(Settings!$B$41:$B$55,MATCH($B1084,Settings!$A$41:$A$55,0)),"Check category"))</f>
      </c>
    </row>
    <row r="1085" spans="1:7" x14ac:dyDescent="0.25">
      <c r="A1085" s="22"/>
      <c r="B1085" s="5"/>
      <c r="C1085" s="5"/>
      <c r="D1085" s="23"/>
      <c r="E1085" s="5"/>
      <c r="F1085" s="5"/>
      <c r="G1085" s="31">
        <f>IF($B1085="","",IFERROR(INDEX(Settings!$B$41:$B$55,MATCH($B1085,Settings!$A$41:$A$55,0)),"Check category"))</f>
      </c>
    </row>
    <row r="1086" spans="1:7" x14ac:dyDescent="0.25">
      <c r="A1086" s="22"/>
      <c r="B1086" s="5"/>
      <c r="C1086" s="5"/>
      <c r="D1086" s="23"/>
      <c r="E1086" s="5"/>
      <c r="F1086" s="5"/>
      <c r="G1086" s="31">
        <f>IF($B1086="","",IFERROR(INDEX(Settings!$B$41:$B$55,MATCH($B1086,Settings!$A$41:$A$55,0)),"Check category"))</f>
      </c>
    </row>
    <row r="1087" spans="1:7" x14ac:dyDescent="0.25">
      <c r="A1087" s="22"/>
      <c r="B1087" s="5"/>
      <c r="C1087" s="5"/>
      <c r="D1087" s="23"/>
      <c r="E1087" s="5"/>
      <c r="F1087" s="5"/>
      <c r="G1087" s="31">
        <f>IF($B1087="","",IFERROR(INDEX(Settings!$B$41:$B$55,MATCH($B1087,Settings!$A$41:$A$55,0)),"Check category"))</f>
      </c>
    </row>
    <row r="1088" spans="1:7" x14ac:dyDescent="0.25">
      <c r="A1088" s="22"/>
      <c r="B1088" s="5"/>
      <c r="C1088" s="5"/>
      <c r="D1088" s="23"/>
      <c r="E1088" s="5"/>
      <c r="F1088" s="5"/>
      <c r="G1088" s="31">
        <f>IF($B1088="","",IFERROR(INDEX(Settings!$B$41:$B$55,MATCH($B1088,Settings!$A$41:$A$55,0)),"Check category"))</f>
      </c>
    </row>
    <row r="1089" spans="1:7" x14ac:dyDescent="0.25">
      <c r="A1089" s="22"/>
      <c r="B1089" s="5"/>
      <c r="C1089" s="5"/>
      <c r="D1089" s="23"/>
      <c r="E1089" s="5"/>
      <c r="F1089" s="5"/>
      <c r="G1089" s="31">
        <f>IF($B1089="","",IFERROR(INDEX(Settings!$B$41:$B$55,MATCH($B1089,Settings!$A$41:$A$55,0)),"Check category"))</f>
      </c>
    </row>
    <row r="1090" spans="1:7" x14ac:dyDescent="0.25">
      <c r="A1090" s="22"/>
      <c r="B1090" s="5"/>
      <c r="C1090" s="5"/>
      <c r="D1090" s="23"/>
      <c r="E1090" s="5"/>
      <c r="F1090" s="5"/>
      <c r="G1090" s="31">
        <f>IF($B1090="","",IFERROR(INDEX(Settings!$B$41:$B$55,MATCH($B1090,Settings!$A$41:$A$55,0)),"Check category"))</f>
      </c>
    </row>
    <row r="1091" spans="1:7" x14ac:dyDescent="0.25">
      <c r="A1091" s="22"/>
      <c r="B1091" s="5"/>
      <c r="C1091" s="5"/>
      <c r="D1091" s="23"/>
      <c r="E1091" s="5"/>
      <c r="F1091" s="5"/>
      <c r="G1091" s="31">
        <f>IF($B1091="","",IFERROR(INDEX(Settings!$B$41:$B$55,MATCH($B1091,Settings!$A$41:$A$55,0)),"Check category"))</f>
      </c>
    </row>
    <row r="1092" spans="1:7" x14ac:dyDescent="0.25">
      <c r="A1092" s="22"/>
      <c r="B1092" s="5"/>
      <c r="C1092" s="5"/>
      <c r="D1092" s="23"/>
      <c r="E1092" s="5"/>
      <c r="F1092" s="5"/>
      <c r="G1092" s="31">
        <f>IF($B1092="","",IFERROR(INDEX(Settings!$B$41:$B$55,MATCH($B1092,Settings!$A$41:$A$55,0)),"Check category"))</f>
      </c>
    </row>
    <row r="1093" spans="1:7" x14ac:dyDescent="0.25">
      <c r="A1093" s="22"/>
      <c r="B1093" s="5"/>
      <c r="C1093" s="5"/>
      <c r="D1093" s="23"/>
      <c r="E1093" s="5"/>
      <c r="F1093" s="5"/>
      <c r="G1093" s="31">
        <f>IF($B1093="","",IFERROR(INDEX(Settings!$B$41:$B$55,MATCH($B1093,Settings!$A$41:$A$55,0)),"Check category"))</f>
      </c>
    </row>
    <row r="1094" spans="1:7" x14ac:dyDescent="0.25">
      <c r="A1094" s="22"/>
      <c r="B1094" s="5"/>
      <c r="C1094" s="5"/>
      <c r="D1094" s="23"/>
      <c r="E1094" s="5"/>
      <c r="F1094" s="5"/>
      <c r="G1094" s="31">
        <f>IF($B1094="","",IFERROR(INDEX(Settings!$B$41:$B$55,MATCH($B1094,Settings!$A$41:$A$55,0)),"Check category"))</f>
      </c>
    </row>
    <row r="1095" spans="1:7" x14ac:dyDescent="0.25">
      <c r="A1095" s="22"/>
      <c r="B1095" s="5"/>
      <c r="C1095" s="5"/>
      <c r="D1095" s="23"/>
      <c r="E1095" s="5"/>
      <c r="F1095" s="5"/>
      <c r="G1095" s="31">
        <f>IF($B1095="","",IFERROR(INDEX(Settings!$B$41:$B$55,MATCH($B1095,Settings!$A$41:$A$55,0)),"Check category"))</f>
      </c>
    </row>
    <row r="1096" spans="1:7" x14ac:dyDescent="0.25">
      <c r="A1096" s="22"/>
      <c r="B1096" s="5"/>
      <c r="C1096" s="5"/>
      <c r="D1096" s="23"/>
      <c r="E1096" s="5"/>
      <c r="F1096" s="5"/>
      <c r="G1096" s="31">
        <f>IF($B1096="","",IFERROR(INDEX(Settings!$B$41:$B$55,MATCH($B1096,Settings!$A$41:$A$55,0)),"Check category"))</f>
      </c>
    </row>
    <row r="1097" spans="1:7" x14ac:dyDescent="0.25">
      <c r="A1097" s="22"/>
      <c r="B1097" s="5"/>
      <c r="C1097" s="5"/>
      <c r="D1097" s="23"/>
      <c r="E1097" s="5"/>
      <c r="F1097" s="5"/>
      <c r="G1097" s="31">
        <f>IF($B1097="","",IFERROR(INDEX(Settings!$B$41:$B$55,MATCH($B1097,Settings!$A$41:$A$55,0)),"Check category"))</f>
      </c>
    </row>
    <row r="1098" spans="1:7" x14ac:dyDescent="0.25">
      <c r="A1098" s="22"/>
      <c r="B1098" s="5"/>
      <c r="C1098" s="5"/>
      <c r="D1098" s="23"/>
      <c r="E1098" s="5"/>
      <c r="F1098" s="5"/>
      <c r="G1098" s="31">
        <f>IF($B1098="","",IFERROR(INDEX(Settings!$B$41:$B$55,MATCH($B1098,Settings!$A$41:$A$55,0)),"Check category"))</f>
      </c>
    </row>
    <row r="1099" spans="1:7" x14ac:dyDescent="0.25">
      <c r="A1099" s="22"/>
      <c r="B1099" s="5"/>
      <c r="C1099" s="5"/>
      <c r="D1099" s="23"/>
      <c r="E1099" s="5"/>
      <c r="F1099" s="5"/>
      <c r="G1099" s="31">
        <f>IF($B1099="","",IFERROR(INDEX(Settings!$B$41:$B$55,MATCH($B1099,Settings!$A$41:$A$55,0)),"Check category"))</f>
      </c>
    </row>
    <row r="1100" spans="1:7" x14ac:dyDescent="0.25">
      <c r="A1100" s="22"/>
      <c r="B1100" s="5"/>
      <c r="C1100" s="5"/>
      <c r="D1100" s="23"/>
      <c r="E1100" s="5"/>
      <c r="F1100" s="5"/>
      <c r="G1100" s="31">
        <f>IF($B1100="","",IFERROR(INDEX(Settings!$B$41:$B$55,MATCH($B1100,Settings!$A$41:$A$55,0)),"Check category"))</f>
      </c>
    </row>
    <row r="1101" spans="1:7" x14ac:dyDescent="0.25">
      <c r="A1101" s="22"/>
      <c r="B1101" s="5"/>
      <c r="C1101" s="5"/>
      <c r="D1101" s="23"/>
      <c r="E1101" s="5"/>
      <c r="F1101" s="5"/>
      <c r="G1101" s="31">
        <f>IF($B1101="","",IFERROR(INDEX(Settings!$B$41:$B$55,MATCH($B1101,Settings!$A$41:$A$55,0)),"Check category"))</f>
      </c>
    </row>
    <row r="1102" spans="1:7" x14ac:dyDescent="0.25">
      <c r="A1102" s="22"/>
      <c r="B1102" s="5"/>
      <c r="C1102" s="5"/>
      <c r="D1102" s="23"/>
      <c r="E1102" s="5"/>
      <c r="F1102" s="5"/>
      <c r="G1102" s="31">
        <f>IF($B1102="","",IFERROR(INDEX(Settings!$B$41:$B$55,MATCH($B1102,Settings!$A$41:$A$55,0)),"Check category"))</f>
      </c>
    </row>
    <row r="1103" spans="1:7" x14ac:dyDescent="0.25">
      <c r="A1103" s="22"/>
      <c r="B1103" s="5"/>
      <c r="C1103" s="5"/>
      <c r="D1103" s="23"/>
      <c r="E1103" s="5"/>
      <c r="F1103" s="5"/>
      <c r="G1103" s="31">
        <f>IF($B1103="","",IFERROR(INDEX(Settings!$B$41:$B$55,MATCH($B1103,Settings!$A$41:$A$55,0)),"Check category"))</f>
      </c>
    </row>
    <row r="1104" spans="1:7" x14ac:dyDescent="0.25">
      <c r="A1104" s="22"/>
      <c r="B1104" s="5"/>
      <c r="C1104" s="5"/>
      <c r="D1104" s="23"/>
      <c r="E1104" s="5"/>
      <c r="F1104" s="5"/>
      <c r="G1104" s="31">
        <f>IF($B1104="","",IFERROR(INDEX(Settings!$B$41:$B$55,MATCH($B1104,Settings!$A$41:$A$55,0)),"Check category"))</f>
      </c>
    </row>
    <row r="1105" spans="1:7" x14ac:dyDescent="0.25">
      <c r="A1105" s="22"/>
      <c r="B1105" s="5"/>
      <c r="C1105" s="5"/>
      <c r="D1105" s="23"/>
      <c r="E1105" s="5"/>
      <c r="F1105" s="5"/>
      <c r="G1105" s="31">
        <f>IF($B1105="","",IFERROR(INDEX(Settings!$B$41:$B$55,MATCH($B1105,Settings!$A$41:$A$55,0)),"Check category"))</f>
      </c>
    </row>
    <row r="1106" spans="1:7" x14ac:dyDescent="0.25">
      <c r="A1106" s="22"/>
      <c r="B1106" s="5"/>
      <c r="C1106" s="5"/>
      <c r="D1106" s="23"/>
      <c r="E1106" s="5"/>
      <c r="F1106" s="5"/>
      <c r="G1106" s="31">
        <f>IF($B1106="","",IFERROR(INDEX(Settings!$B$41:$B$55,MATCH($B1106,Settings!$A$41:$A$55,0)),"Check category"))</f>
      </c>
    </row>
    <row r="1107" spans="1:7" x14ac:dyDescent="0.25">
      <c r="A1107" s="22"/>
      <c r="B1107" s="5"/>
      <c r="C1107" s="5"/>
      <c r="D1107" s="23"/>
      <c r="E1107" s="5"/>
      <c r="F1107" s="5"/>
      <c r="G1107" s="31">
        <f>IF($B1107="","",IFERROR(INDEX(Settings!$B$41:$B$55,MATCH($B1107,Settings!$A$41:$A$55,0)),"Check category"))</f>
      </c>
    </row>
    <row r="1108" spans="1:7" x14ac:dyDescent="0.25">
      <c r="A1108" s="22"/>
      <c r="B1108" s="5"/>
      <c r="C1108" s="5"/>
      <c r="D1108" s="23"/>
      <c r="E1108" s="5"/>
      <c r="F1108" s="5"/>
      <c r="G1108" s="31">
        <f>IF($B1108="","",IFERROR(INDEX(Settings!$B$41:$B$55,MATCH($B1108,Settings!$A$41:$A$55,0)),"Check category"))</f>
      </c>
    </row>
    <row r="1109" spans="1:7" x14ac:dyDescent="0.25">
      <c r="A1109" s="22"/>
      <c r="B1109" s="5"/>
      <c r="C1109" s="5"/>
      <c r="D1109" s="23"/>
      <c r="E1109" s="5"/>
      <c r="F1109" s="5"/>
      <c r="G1109" s="31">
        <f>IF($B1109="","",IFERROR(INDEX(Settings!$B$41:$B$55,MATCH($B1109,Settings!$A$41:$A$55,0)),"Check category"))</f>
      </c>
    </row>
    <row r="1110" spans="1:7" x14ac:dyDescent="0.25">
      <c r="A1110" s="22"/>
      <c r="B1110" s="5"/>
      <c r="C1110" s="5"/>
      <c r="D1110" s="23"/>
      <c r="E1110" s="5"/>
      <c r="F1110" s="5"/>
      <c r="G1110" s="31">
        <f>IF($B1110="","",IFERROR(INDEX(Settings!$B$41:$B$55,MATCH($B1110,Settings!$A$41:$A$55,0)),"Check category"))</f>
      </c>
    </row>
    <row r="1111" spans="1:7" x14ac:dyDescent="0.25">
      <c r="A1111" s="22"/>
      <c r="B1111" s="5"/>
      <c r="C1111" s="5"/>
      <c r="D1111" s="23"/>
      <c r="E1111" s="5"/>
      <c r="F1111" s="5"/>
      <c r="G1111" s="31">
        <f>IF($B1111="","",IFERROR(INDEX(Settings!$B$41:$B$55,MATCH($B1111,Settings!$A$41:$A$55,0)),"Check category"))</f>
      </c>
    </row>
    <row r="1112" spans="1:7" x14ac:dyDescent="0.25">
      <c r="A1112" s="22"/>
      <c r="B1112" s="5"/>
      <c r="C1112" s="5"/>
      <c r="D1112" s="23"/>
      <c r="E1112" s="5"/>
      <c r="F1112" s="5"/>
      <c r="G1112" s="31">
        <f>IF($B1112="","",IFERROR(INDEX(Settings!$B$41:$B$55,MATCH($B1112,Settings!$A$41:$A$55,0)),"Check category"))</f>
      </c>
    </row>
    <row r="1113" spans="1:7" x14ac:dyDescent="0.25">
      <c r="A1113" s="22"/>
      <c r="B1113" s="5"/>
      <c r="C1113" s="5"/>
      <c r="D1113" s="23"/>
      <c r="E1113" s="5"/>
      <c r="F1113" s="5"/>
      <c r="G1113" s="31">
        <f>IF($B1113="","",IFERROR(INDEX(Settings!$B$41:$B$55,MATCH($B1113,Settings!$A$41:$A$55,0)),"Check category"))</f>
      </c>
    </row>
    <row r="1114" spans="1:7" x14ac:dyDescent="0.25">
      <c r="A1114" s="22"/>
      <c r="B1114" s="5"/>
      <c r="C1114" s="5"/>
      <c r="D1114" s="23"/>
      <c r="E1114" s="5"/>
      <c r="F1114" s="5"/>
      <c r="G1114" s="31">
        <f>IF($B1114="","",IFERROR(INDEX(Settings!$B$41:$B$55,MATCH($B1114,Settings!$A$41:$A$55,0)),"Check category"))</f>
      </c>
    </row>
    <row r="1115" spans="1:7" x14ac:dyDescent="0.25">
      <c r="A1115" s="22"/>
      <c r="B1115" s="5"/>
      <c r="C1115" s="5"/>
      <c r="D1115" s="23"/>
      <c r="E1115" s="5"/>
      <c r="F1115" s="5"/>
      <c r="G1115" s="31">
        <f>IF($B1115="","",IFERROR(INDEX(Settings!$B$41:$B$55,MATCH($B1115,Settings!$A$41:$A$55,0)),"Check category"))</f>
      </c>
    </row>
    <row r="1116" spans="1:7" x14ac:dyDescent="0.25">
      <c r="A1116" s="22"/>
      <c r="B1116" s="5"/>
      <c r="C1116" s="5"/>
      <c r="D1116" s="23"/>
      <c r="E1116" s="5"/>
      <c r="F1116" s="5"/>
      <c r="G1116" s="31">
        <f>IF($B1116="","",IFERROR(INDEX(Settings!$B$41:$B$55,MATCH($B1116,Settings!$A$41:$A$55,0)),"Check category"))</f>
      </c>
    </row>
    <row r="1117" spans="1:7" x14ac:dyDescent="0.25">
      <c r="A1117" s="22"/>
      <c r="B1117" s="5"/>
      <c r="C1117" s="5"/>
      <c r="D1117" s="23"/>
      <c r="E1117" s="5"/>
      <c r="F1117" s="5"/>
      <c r="G1117" s="31">
        <f>IF($B1117="","",IFERROR(INDEX(Settings!$B$41:$B$55,MATCH($B1117,Settings!$A$41:$A$55,0)),"Check category"))</f>
      </c>
    </row>
    <row r="1118" spans="1:7" x14ac:dyDescent="0.25">
      <c r="A1118" s="22"/>
      <c r="B1118" s="5"/>
      <c r="C1118" s="5"/>
      <c r="D1118" s="23"/>
      <c r="E1118" s="5"/>
      <c r="F1118" s="5"/>
      <c r="G1118" s="31">
        <f>IF($B1118="","",IFERROR(INDEX(Settings!$B$41:$B$55,MATCH($B1118,Settings!$A$41:$A$55,0)),"Check category"))</f>
      </c>
    </row>
    <row r="1119" spans="1:7" x14ac:dyDescent="0.25">
      <c r="A1119" s="22"/>
      <c r="B1119" s="5"/>
      <c r="C1119" s="5"/>
      <c r="D1119" s="23"/>
      <c r="E1119" s="5"/>
      <c r="F1119" s="5"/>
      <c r="G1119" s="31">
        <f>IF($B1119="","",IFERROR(INDEX(Settings!$B$41:$B$55,MATCH($B1119,Settings!$A$41:$A$55,0)),"Check category"))</f>
      </c>
    </row>
    <row r="1120" spans="1:7" x14ac:dyDescent="0.25">
      <c r="A1120" s="22"/>
      <c r="B1120" s="5"/>
      <c r="C1120" s="5"/>
      <c r="D1120" s="23"/>
      <c r="E1120" s="5"/>
      <c r="F1120" s="5"/>
      <c r="G1120" s="31">
        <f>IF($B1120="","",IFERROR(INDEX(Settings!$B$41:$B$55,MATCH($B1120,Settings!$A$41:$A$55,0)),"Check category"))</f>
      </c>
    </row>
    <row r="1121" spans="1:7" x14ac:dyDescent="0.25">
      <c r="A1121" s="22"/>
      <c r="B1121" s="5"/>
      <c r="C1121" s="5"/>
      <c r="D1121" s="23"/>
      <c r="E1121" s="5"/>
      <c r="F1121" s="5"/>
      <c r="G1121" s="31">
        <f>IF($B1121="","",IFERROR(INDEX(Settings!$B$41:$B$55,MATCH($B1121,Settings!$A$41:$A$55,0)),"Check category"))</f>
      </c>
    </row>
    <row r="1122" spans="1:7" x14ac:dyDescent="0.25">
      <c r="A1122" s="22"/>
      <c r="B1122" s="5"/>
      <c r="C1122" s="5"/>
      <c r="D1122" s="23"/>
      <c r="E1122" s="5"/>
      <c r="F1122" s="5"/>
      <c r="G1122" s="31">
        <f>IF($B1122="","",IFERROR(INDEX(Settings!$B$41:$B$55,MATCH($B1122,Settings!$A$41:$A$55,0)),"Check category"))</f>
      </c>
    </row>
    <row r="1123" spans="1:7" x14ac:dyDescent="0.25">
      <c r="A1123" s="22"/>
      <c r="B1123" s="5"/>
      <c r="C1123" s="5"/>
      <c r="D1123" s="23"/>
      <c r="E1123" s="5"/>
      <c r="F1123" s="5"/>
      <c r="G1123" s="31">
        <f>IF($B1123="","",IFERROR(INDEX(Settings!$B$41:$B$55,MATCH($B1123,Settings!$A$41:$A$55,0)),"Check category"))</f>
      </c>
    </row>
    <row r="1124" spans="1:7" x14ac:dyDescent="0.25">
      <c r="A1124" s="22"/>
      <c r="B1124" s="5"/>
      <c r="C1124" s="5"/>
      <c r="D1124" s="23"/>
      <c r="E1124" s="5"/>
      <c r="F1124" s="5"/>
      <c r="G1124" s="31">
        <f>IF($B1124="","",IFERROR(INDEX(Settings!$B$41:$B$55,MATCH($B1124,Settings!$A$41:$A$55,0)),"Check category"))</f>
      </c>
    </row>
    <row r="1125" spans="1:7" x14ac:dyDescent="0.25">
      <c r="A1125" s="22"/>
      <c r="B1125" s="5"/>
      <c r="C1125" s="5"/>
      <c r="D1125" s="23"/>
      <c r="E1125" s="5"/>
      <c r="F1125" s="5"/>
      <c r="G1125" s="31">
        <f>IF($B1125="","",IFERROR(INDEX(Settings!$B$41:$B$55,MATCH($B1125,Settings!$A$41:$A$55,0)),"Check category"))</f>
      </c>
    </row>
    <row r="1126" spans="1:7" x14ac:dyDescent="0.25">
      <c r="A1126" s="22"/>
      <c r="B1126" s="5"/>
      <c r="C1126" s="5"/>
      <c r="D1126" s="23"/>
      <c r="E1126" s="5"/>
      <c r="F1126" s="5"/>
      <c r="G1126" s="31">
        <f>IF($B1126="","",IFERROR(INDEX(Settings!$B$41:$B$55,MATCH($B1126,Settings!$A$41:$A$55,0)),"Check category"))</f>
      </c>
    </row>
    <row r="1127" spans="1:7" x14ac:dyDescent="0.25">
      <c r="A1127" s="22"/>
      <c r="B1127" s="5"/>
      <c r="C1127" s="5"/>
      <c r="D1127" s="23"/>
      <c r="E1127" s="5"/>
      <c r="F1127" s="5"/>
      <c r="G1127" s="31">
        <f>IF($B1127="","",IFERROR(INDEX(Settings!$B$41:$B$55,MATCH($B1127,Settings!$A$41:$A$55,0)),"Check category"))</f>
      </c>
    </row>
    <row r="1128" spans="1:7" x14ac:dyDescent="0.25">
      <c r="A1128" s="22"/>
      <c r="B1128" s="5"/>
      <c r="C1128" s="5"/>
      <c r="D1128" s="23"/>
      <c r="E1128" s="5"/>
      <c r="F1128" s="5"/>
      <c r="G1128" s="31">
        <f>IF($B1128="","",IFERROR(INDEX(Settings!$B$41:$B$55,MATCH($B1128,Settings!$A$41:$A$55,0)),"Check category"))</f>
      </c>
    </row>
    <row r="1129" spans="1:7" x14ac:dyDescent="0.25">
      <c r="A1129" s="22"/>
      <c r="B1129" s="5"/>
      <c r="C1129" s="5"/>
      <c r="D1129" s="23"/>
      <c r="E1129" s="5"/>
      <c r="F1129" s="5"/>
      <c r="G1129" s="31">
        <f>IF($B1129="","",IFERROR(INDEX(Settings!$B$41:$B$55,MATCH($B1129,Settings!$A$41:$A$55,0)),"Check category"))</f>
      </c>
    </row>
    <row r="1130" spans="1:7" x14ac:dyDescent="0.25">
      <c r="A1130" s="22"/>
      <c r="B1130" s="5"/>
      <c r="C1130" s="5"/>
      <c r="D1130" s="23"/>
      <c r="E1130" s="5"/>
      <c r="F1130" s="5"/>
      <c r="G1130" s="31">
        <f>IF($B1130="","",IFERROR(INDEX(Settings!$B$41:$B$55,MATCH($B1130,Settings!$A$41:$A$55,0)),"Check category"))</f>
      </c>
    </row>
    <row r="1131" spans="1:7" x14ac:dyDescent="0.25">
      <c r="A1131" s="22"/>
      <c r="B1131" s="5"/>
      <c r="C1131" s="5"/>
      <c r="D1131" s="23"/>
      <c r="E1131" s="5"/>
      <c r="F1131" s="5"/>
      <c r="G1131" s="31">
        <f>IF($B1131="","",IFERROR(INDEX(Settings!$B$41:$B$55,MATCH($B1131,Settings!$A$41:$A$55,0)),"Check category"))</f>
      </c>
    </row>
    <row r="1132" spans="1:7" x14ac:dyDescent="0.25">
      <c r="A1132" s="22"/>
      <c r="B1132" s="5"/>
      <c r="C1132" s="5"/>
      <c r="D1132" s="23"/>
      <c r="E1132" s="5"/>
      <c r="F1132" s="5"/>
      <c r="G1132" s="31">
        <f>IF($B1132="","",IFERROR(INDEX(Settings!$B$41:$B$55,MATCH($B1132,Settings!$A$41:$A$55,0)),"Check category"))</f>
      </c>
    </row>
    <row r="1133" spans="1:7" x14ac:dyDescent="0.25">
      <c r="A1133" s="22"/>
      <c r="B1133" s="5"/>
      <c r="C1133" s="5"/>
      <c r="D1133" s="23"/>
      <c r="E1133" s="5"/>
      <c r="F1133" s="5"/>
      <c r="G1133" s="31">
        <f>IF($B1133="","",IFERROR(INDEX(Settings!$B$41:$B$55,MATCH($B1133,Settings!$A$41:$A$55,0)),"Check category"))</f>
      </c>
    </row>
    <row r="1134" spans="1:7" x14ac:dyDescent="0.25">
      <c r="A1134" s="22"/>
      <c r="B1134" s="5"/>
      <c r="C1134" s="5"/>
      <c r="D1134" s="23"/>
      <c r="E1134" s="5"/>
      <c r="F1134" s="5"/>
      <c r="G1134" s="31">
        <f>IF($B1134="","",IFERROR(INDEX(Settings!$B$41:$B$55,MATCH($B1134,Settings!$A$41:$A$55,0)),"Check category"))</f>
      </c>
    </row>
    <row r="1135" spans="1:7" x14ac:dyDescent="0.25">
      <c r="A1135" s="22"/>
      <c r="B1135" s="5"/>
      <c r="C1135" s="5"/>
      <c r="D1135" s="23"/>
      <c r="E1135" s="5"/>
      <c r="F1135" s="5"/>
      <c r="G1135" s="31">
        <f>IF($B1135="","",IFERROR(INDEX(Settings!$B$41:$B$55,MATCH($B1135,Settings!$A$41:$A$55,0)),"Check category"))</f>
      </c>
    </row>
    <row r="1136" spans="1:7" x14ac:dyDescent="0.25">
      <c r="A1136" s="22"/>
      <c r="B1136" s="5"/>
      <c r="C1136" s="5"/>
      <c r="D1136" s="23"/>
      <c r="E1136" s="5"/>
      <c r="F1136" s="5"/>
      <c r="G1136" s="31">
        <f>IF($B1136="","",IFERROR(INDEX(Settings!$B$41:$B$55,MATCH($B1136,Settings!$A$41:$A$55,0)),"Check category"))</f>
      </c>
    </row>
    <row r="1137" spans="1:7" x14ac:dyDescent="0.25">
      <c r="A1137" s="22"/>
      <c r="B1137" s="5"/>
      <c r="C1137" s="5"/>
      <c r="D1137" s="23"/>
      <c r="E1137" s="5"/>
      <c r="F1137" s="5"/>
      <c r="G1137" s="31">
        <f>IF($B1137="","",IFERROR(INDEX(Settings!$B$41:$B$55,MATCH($B1137,Settings!$A$41:$A$55,0)),"Check category"))</f>
      </c>
    </row>
    <row r="1138" spans="1:7" x14ac:dyDescent="0.25">
      <c r="A1138" s="22"/>
      <c r="B1138" s="5"/>
      <c r="C1138" s="5"/>
      <c r="D1138" s="23"/>
      <c r="E1138" s="5"/>
      <c r="F1138" s="5"/>
      <c r="G1138" s="31">
        <f>IF($B1138="","",IFERROR(INDEX(Settings!$B$41:$B$55,MATCH($B1138,Settings!$A$41:$A$55,0)),"Check category"))</f>
      </c>
    </row>
    <row r="1139" spans="1:7" x14ac:dyDescent="0.25">
      <c r="A1139" s="22"/>
      <c r="B1139" s="5"/>
      <c r="C1139" s="5"/>
      <c r="D1139" s="23"/>
      <c r="E1139" s="5"/>
      <c r="F1139" s="5"/>
      <c r="G1139" s="31">
        <f>IF($B1139="","",IFERROR(INDEX(Settings!$B$41:$B$55,MATCH($B1139,Settings!$A$41:$A$55,0)),"Check category"))</f>
      </c>
    </row>
    <row r="1140" spans="1:7" x14ac:dyDescent="0.25">
      <c r="A1140" s="22"/>
      <c r="B1140" s="5"/>
      <c r="C1140" s="5"/>
      <c r="D1140" s="23"/>
      <c r="E1140" s="5"/>
      <c r="F1140" s="5"/>
      <c r="G1140" s="31">
        <f>IF($B1140="","",IFERROR(INDEX(Settings!$B$41:$B$55,MATCH($B1140,Settings!$A$41:$A$55,0)),"Check category"))</f>
      </c>
    </row>
    <row r="1141" spans="1:7" x14ac:dyDescent="0.25">
      <c r="A1141" s="22"/>
      <c r="B1141" s="5"/>
      <c r="C1141" s="5"/>
      <c r="D1141" s="23"/>
      <c r="E1141" s="5"/>
      <c r="F1141" s="5"/>
      <c r="G1141" s="31">
        <f>IF($B1141="","",IFERROR(INDEX(Settings!$B$41:$B$55,MATCH($B1141,Settings!$A$41:$A$55,0)),"Check category"))</f>
      </c>
    </row>
    <row r="1142" spans="1:7" x14ac:dyDescent="0.25">
      <c r="A1142" s="22"/>
      <c r="B1142" s="5"/>
      <c r="C1142" s="5"/>
      <c r="D1142" s="23"/>
      <c r="E1142" s="5"/>
      <c r="F1142" s="5"/>
      <c r="G1142" s="31">
        <f>IF($B1142="","",IFERROR(INDEX(Settings!$B$41:$B$55,MATCH($B1142,Settings!$A$41:$A$55,0)),"Check category"))</f>
      </c>
    </row>
    <row r="1143" spans="1:7" x14ac:dyDescent="0.25">
      <c r="A1143" s="22"/>
      <c r="B1143" s="5"/>
      <c r="C1143" s="5"/>
      <c r="D1143" s="23"/>
      <c r="E1143" s="5"/>
      <c r="F1143" s="5"/>
      <c r="G1143" s="31">
        <f>IF($B1143="","",IFERROR(INDEX(Settings!$B$41:$B$55,MATCH($B1143,Settings!$A$41:$A$55,0)),"Check category"))</f>
      </c>
    </row>
    <row r="1144" spans="1:7" x14ac:dyDescent="0.25">
      <c r="A1144" s="22"/>
      <c r="B1144" s="5"/>
      <c r="C1144" s="5"/>
      <c r="D1144" s="23"/>
      <c r="E1144" s="5"/>
      <c r="F1144" s="5"/>
      <c r="G1144" s="31">
        <f>IF($B1144="","",IFERROR(INDEX(Settings!$B$41:$B$55,MATCH($B1144,Settings!$A$41:$A$55,0)),"Check category"))</f>
      </c>
    </row>
    <row r="1145" spans="1:7" x14ac:dyDescent="0.25">
      <c r="A1145" s="22"/>
      <c r="B1145" s="5"/>
      <c r="C1145" s="5"/>
      <c r="D1145" s="23"/>
      <c r="E1145" s="5"/>
      <c r="F1145" s="5"/>
      <c r="G1145" s="31">
        <f>IF($B1145="","",IFERROR(INDEX(Settings!$B$41:$B$55,MATCH($B1145,Settings!$A$41:$A$55,0)),"Check category"))</f>
      </c>
    </row>
    <row r="1146" spans="1:7" x14ac:dyDescent="0.25">
      <c r="A1146" s="22"/>
      <c r="B1146" s="5"/>
      <c r="C1146" s="5"/>
      <c r="D1146" s="23"/>
      <c r="E1146" s="5"/>
      <c r="F1146" s="5"/>
      <c r="G1146" s="31">
        <f>IF($B1146="","",IFERROR(INDEX(Settings!$B$41:$B$55,MATCH($B1146,Settings!$A$41:$A$55,0)),"Check category"))</f>
      </c>
    </row>
    <row r="1147" spans="1:7" x14ac:dyDescent="0.25">
      <c r="A1147" s="22"/>
      <c r="B1147" s="5"/>
      <c r="C1147" s="5"/>
      <c r="D1147" s="23"/>
      <c r="E1147" s="5"/>
      <c r="F1147" s="5"/>
      <c r="G1147" s="31">
        <f>IF($B1147="","",IFERROR(INDEX(Settings!$B$41:$B$55,MATCH($B1147,Settings!$A$41:$A$55,0)),"Check category"))</f>
      </c>
    </row>
    <row r="1148" spans="1:7" x14ac:dyDescent="0.25">
      <c r="A1148" s="22"/>
      <c r="B1148" s="5"/>
      <c r="C1148" s="5"/>
      <c r="D1148" s="23"/>
      <c r="E1148" s="5"/>
      <c r="F1148" s="5"/>
      <c r="G1148" s="31">
        <f>IF($B1148="","",IFERROR(INDEX(Settings!$B$41:$B$55,MATCH($B1148,Settings!$A$41:$A$55,0)),"Check category"))</f>
      </c>
    </row>
    <row r="1149" spans="1:7" x14ac:dyDescent="0.25">
      <c r="A1149" s="22"/>
      <c r="B1149" s="5"/>
      <c r="C1149" s="5"/>
      <c r="D1149" s="23"/>
      <c r="E1149" s="5"/>
      <c r="F1149" s="5"/>
      <c r="G1149" s="31">
        <f>IF($B1149="","",IFERROR(INDEX(Settings!$B$41:$B$55,MATCH($B1149,Settings!$A$41:$A$55,0)),"Check category"))</f>
      </c>
    </row>
    <row r="1150" spans="1:7" x14ac:dyDescent="0.25">
      <c r="A1150" s="22"/>
      <c r="B1150" s="5"/>
      <c r="C1150" s="5"/>
      <c r="D1150" s="23"/>
      <c r="E1150" s="5"/>
      <c r="F1150" s="5"/>
      <c r="G1150" s="31">
        <f>IF($B1150="","",IFERROR(INDEX(Settings!$B$41:$B$55,MATCH($B1150,Settings!$A$41:$A$55,0)),"Check category"))</f>
      </c>
    </row>
    <row r="1151" spans="1:7" x14ac:dyDescent="0.25">
      <c r="A1151" s="22"/>
      <c r="B1151" s="5"/>
      <c r="C1151" s="5"/>
      <c r="D1151" s="23"/>
      <c r="E1151" s="5"/>
      <c r="F1151" s="5"/>
      <c r="G1151" s="31">
        <f>IF($B1151="","",IFERROR(INDEX(Settings!$B$41:$B$55,MATCH($B1151,Settings!$A$41:$A$55,0)),"Check category"))</f>
      </c>
    </row>
    <row r="1152" spans="1:7" x14ac:dyDescent="0.25">
      <c r="A1152" s="22"/>
      <c r="B1152" s="5"/>
      <c r="C1152" s="5"/>
      <c r="D1152" s="23"/>
      <c r="E1152" s="5"/>
      <c r="F1152" s="5"/>
      <c r="G1152" s="31">
        <f>IF($B1152="","",IFERROR(INDEX(Settings!$B$41:$B$55,MATCH($B1152,Settings!$A$41:$A$55,0)),"Check category"))</f>
      </c>
    </row>
    <row r="1153" spans="1:7" x14ac:dyDescent="0.25">
      <c r="A1153" s="22"/>
      <c r="B1153" s="5"/>
      <c r="C1153" s="5"/>
      <c r="D1153" s="23"/>
      <c r="E1153" s="5"/>
      <c r="F1153" s="5"/>
      <c r="G1153" s="31">
        <f>IF($B1153="","",IFERROR(INDEX(Settings!$B$41:$B$55,MATCH($B1153,Settings!$A$41:$A$55,0)),"Check category"))</f>
      </c>
    </row>
    <row r="1154" spans="1:7" x14ac:dyDescent="0.25">
      <c r="A1154" s="22"/>
      <c r="B1154" s="5"/>
      <c r="C1154" s="5"/>
      <c r="D1154" s="23"/>
      <c r="E1154" s="5"/>
      <c r="F1154" s="5"/>
      <c r="G1154" s="31">
        <f>IF($B1154="","",IFERROR(INDEX(Settings!$B$41:$B$55,MATCH($B1154,Settings!$A$41:$A$55,0)),"Check category"))</f>
      </c>
    </row>
    <row r="1155" spans="1:7" x14ac:dyDescent="0.25">
      <c r="A1155" s="22"/>
      <c r="B1155" s="5"/>
      <c r="C1155" s="5"/>
      <c r="D1155" s="23"/>
      <c r="E1155" s="5"/>
      <c r="F1155" s="5"/>
      <c r="G1155" s="31">
        <f>IF($B1155="","",IFERROR(INDEX(Settings!$B$41:$B$55,MATCH($B1155,Settings!$A$41:$A$55,0)),"Check category"))</f>
      </c>
    </row>
    <row r="1156" spans="1:7" x14ac:dyDescent="0.25">
      <c r="A1156" s="22"/>
      <c r="B1156" s="5"/>
      <c r="C1156" s="5"/>
      <c r="D1156" s="23"/>
      <c r="E1156" s="5"/>
      <c r="F1156" s="5"/>
      <c r="G1156" s="31">
        <f>IF($B1156="","",IFERROR(INDEX(Settings!$B$41:$B$55,MATCH($B1156,Settings!$A$41:$A$55,0)),"Check category"))</f>
      </c>
    </row>
    <row r="1157" spans="1:7" x14ac:dyDescent="0.25">
      <c r="A1157" s="22"/>
      <c r="B1157" s="5"/>
      <c r="C1157" s="5"/>
      <c r="D1157" s="23"/>
      <c r="E1157" s="5"/>
      <c r="F1157" s="5"/>
      <c r="G1157" s="31">
        <f>IF($B1157="","",IFERROR(INDEX(Settings!$B$41:$B$55,MATCH($B1157,Settings!$A$41:$A$55,0)),"Check category"))</f>
      </c>
    </row>
    <row r="1158" spans="1:7" x14ac:dyDescent="0.25">
      <c r="A1158" s="22"/>
      <c r="B1158" s="5"/>
      <c r="C1158" s="5"/>
      <c r="D1158" s="23"/>
      <c r="E1158" s="5"/>
      <c r="F1158" s="5"/>
      <c r="G1158" s="31">
        <f>IF($B1158="","",IFERROR(INDEX(Settings!$B$41:$B$55,MATCH($B1158,Settings!$A$41:$A$55,0)),"Check category"))</f>
      </c>
    </row>
    <row r="1159" spans="1:7" x14ac:dyDescent="0.25">
      <c r="A1159" s="22"/>
      <c r="B1159" s="5"/>
      <c r="C1159" s="5"/>
      <c r="D1159" s="23"/>
      <c r="E1159" s="5"/>
      <c r="F1159" s="5"/>
      <c r="G1159" s="31">
        <f>IF($B1159="","",IFERROR(INDEX(Settings!$B$41:$B$55,MATCH($B1159,Settings!$A$41:$A$55,0)),"Check category"))</f>
      </c>
    </row>
    <row r="1160" spans="1:7" x14ac:dyDescent="0.25">
      <c r="A1160" s="22"/>
      <c r="B1160" s="5"/>
      <c r="C1160" s="5"/>
      <c r="D1160" s="23"/>
      <c r="E1160" s="5"/>
      <c r="F1160" s="5"/>
      <c r="G1160" s="31">
        <f>IF($B1160="","",IFERROR(INDEX(Settings!$B$41:$B$55,MATCH($B1160,Settings!$A$41:$A$55,0)),"Check category"))</f>
      </c>
    </row>
    <row r="1161" spans="1:7" x14ac:dyDescent="0.25">
      <c r="A1161" s="22"/>
      <c r="B1161" s="5"/>
      <c r="C1161" s="5"/>
      <c r="D1161" s="23"/>
      <c r="E1161" s="5"/>
      <c r="F1161" s="5"/>
      <c r="G1161" s="31">
        <f>IF($B1161="","",IFERROR(INDEX(Settings!$B$41:$B$55,MATCH($B1161,Settings!$A$41:$A$55,0)),"Check category"))</f>
      </c>
    </row>
    <row r="1162" spans="1:7" x14ac:dyDescent="0.25">
      <c r="A1162" s="22"/>
      <c r="B1162" s="5"/>
      <c r="C1162" s="5"/>
      <c r="D1162" s="23"/>
      <c r="E1162" s="5"/>
      <c r="F1162" s="5"/>
      <c r="G1162" s="31">
        <f>IF($B1162="","",IFERROR(INDEX(Settings!$B$41:$B$55,MATCH($B1162,Settings!$A$41:$A$55,0)),"Check category"))</f>
      </c>
    </row>
    <row r="1163" spans="1:7" x14ac:dyDescent="0.25">
      <c r="A1163" s="22"/>
      <c r="B1163" s="5"/>
      <c r="C1163" s="5"/>
      <c r="D1163" s="23"/>
      <c r="E1163" s="5"/>
      <c r="F1163" s="5"/>
      <c r="G1163" s="31">
        <f>IF($B1163="","",IFERROR(INDEX(Settings!$B$41:$B$55,MATCH($B1163,Settings!$A$41:$A$55,0)),"Check category"))</f>
      </c>
    </row>
    <row r="1164" spans="1:7" x14ac:dyDescent="0.25">
      <c r="A1164" s="22"/>
      <c r="B1164" s="5"/>
      <c r="C1164" s="5"/>
      <c r="D1164" s="23"/>
      <c r="E1164" s="5"/>
      <c r="F1164" s="5"/>
      <c r="G1164" s="31">
        <f>IF($B1164="","",IFERROR(INDEX(Settings!$B$41:$B$55,MATCH($B1164,Settings!$A$41:$A$55,0)),"Check category"))</f>
      </c>
    </row>
    <row r="1165" spans="1:7" x14ac:dyDescent="0.25">
      <c r="A1165" s="22"/>
      <c r="B1165" s="5"/>
      <c r="C1165" s="5"/>
      <c r="D1165" s="23"/>
      <c r="E1165" s="5"/>
      <c r="F1165" s="5"/>
      <c r="G1165" s="31">
        <f>IF($B1165="","",IFERROR(INDEX(Settings!$B$41:$B$55,MATCH($B1165,Settings!$A$41:$A$55,0)),"Check category"))</f>
      </c>
    </row>
    <row r="1166" spans="1:7" x14ac:dyDescent="0.25">
      <c r="A1166" s="22"/>
      <c r="B1166" s="5"/>
      <c r="C1166" s="5"/>
      <c r="D1166" s="23"/>
      <c r="E1166" s="5"/>
      <c r="F1166" s="5"/>
      <c r="G1166" s="31">
        <f>IF($B1166="","",IFERROR(INDEX(Settings!$B$41:$B$55,MATCH($B1166,Settings!$A$41:$A$55,0)),"Check category"))</f>
      </c>
    </row>
    <row r="1167" spans="1:7" x14ac:dyDescent="0.25">
      <c r="A1167" s="22"/>
      <c r="B1167" s="5"/>
      <c r="C1167" s="5"/>
      <c r="D1167" s="23"/>
      <c r="E1167" s="5"/>
      <c r="F1167" s="5"/>
      <c r="G1167" s="31">
        <f>IF($B1167="","",IFERROR(INDEX(Settings!$B$41:$B$55,MATCH($B1167,Settings!$A$41:$A$55,0)),"Check category"))</f>
      </c>
    </row>
    <row r="1168" spans="1:7" x14ac:dyDescent="0.25">
      <c r="A1168" s="22"/>
      <c r="B1168" s="5"/>
      <c r="C1168" s="5"/>
      <c r="D1168" s="23"/>
      <c r="E1168" s="5"/>
      <c r="F1168" s="5"/>
      <c r="G1168" s="31">
        <f>IF($B1168="","",IFERROR(INDEX(Settings!$B$41:$B$55,MATCH($B1168,Settings!$A$41:$A$55,0)),"Check category"))</f>
      </c>
    </row>
    <row r="1169" spans="1:7" x14ac:dyDescent="0.25">
      <c r="A1169" s="22"/>
      <c r="B1169" s="5"/>
      <c r="C1169" s="5"/>
      <c r="D1169" s="23"/>
      <c r="E1169" s="5"/>
      <c r="F1169" s="5"/>
      <c r="G1169" s="31">
        <f>IF($B1169="","",IFERROR(INDEX(Settings!$B$41:$B$55,MATCH($B1169,Settings!$A$41:$A$55,0)),"Check category"))</f>
      </c>
    </row>
    <row r="1170" spans="1:7" x14ac:dyDescent="0.25">
      <c r="A1170" s="22"/>
      <c r="B1170" s="5"/>
      <c r="C1170" s="5"/>
      <c r="D1170" s="23"/>
      <c r="E1170" s="5"/>
      <c r="F1170" s="5"/>
      <c r="G1170" s="31">
        <f>IF($B1170="","",IFERROR(INDEX(Settings!$B$41:$B$55,MATCH($B1170,Settings!$A$41:$A$55,0)),"Check category"))</f>
      </c>
    </row>
    <row r="1171" spans="1:7" x14ac:dyDescent="0.25">
      <c r="A1171" s="22"/>
      <c r="B1171" s="5"/>
      <c r="C1171" s="5"/>
      <c r="D1171" s="23"/>
      <c r="E1171" s="5"/>
      <c r="F1171" s="5"/>
      <c r="G1171" s="31">
        <f>IF($B1171="","",IFERROR(INDEX(Settings!$B$41:$B$55,MATCH($B1171,Settings!$A$41:$A$55,0)),"Check category"))</f>
      </c>
    </row>
    <row r="1172" spans="1:7" x14ac:dyDescent="0.25">
      <c r="A1172" s="22"/>
      <c r="B1172" s="5"/>
      <c r="C1172" s="5"/>
      <c r="D1172" s="23"/>
      <c r="E1172" s="5"/>
      <c r="F1172" s="5"/>
      <c r="G1172" s="31">
        <f>IF($B1172="","",IFERROR(INDEX(Settings!$B$41:$B$55,MATCH($B1172,Settings!$A$41:$A$55,0)),"Check category"))</f>
      </c>
    </row>
    <row r="1173" spans="1:7" x14ac:dyDescent="0.25">
      <c r="A1173" s="22"/>
      <c r="B1173" s="5"/>
      <c r="C1173" s="5"/>
      <c r="D1173" s="23"/>
      <c r="E1173" s="5"/>
      <c r="F1173" s="5"/>
      <c r="G1173" s="31">
        <f>IF($B1173="","",IFERROR(INDEX(Settings!$B$41:$B$55,MATCH($B1173,Settings!$A$41:$A$55,0)),"Check category"))</f>
      </c>
    </row>
    <row r="1174" spans="1:7" x14ac:dyDescent="0.25">
      <c r="A1174" s="22"/>
      <c r="B1174" s="5"/>
      <c r="C1174" s="5"/>
      <c r="D1174" s="23"/>
      <c r="E1174" s="5"/>
      <c r="F1174" s="5"/>
      <c r="G1174" s="31">
        <f>IF($B1174="","",IFERROR(INDEX(Settings!$B$41:$B$55,MATCH($B1174,Settings!$A$41:$A$55,0)),"Check category"))</f>
      </c>
    </row>
    <row r="1175" spans="1:7" x14ac:dyDescent="0.25">
      <c r="A1175" s="22"/>
      <c r="B1175" s="5"/>
      <c r="C1175" s="5"/>
      <c r="D1175" s="23"/>
      <c r="E1175" s="5"/>
      <c r="F1175" s="5"/>
      <c r="G1175" s="31">
        <f>IF($B1175="","",IFERROR(INDEX(Settings!$B$41:$B$55,MATCH($B1175,Settings!$A$41:$A$55,0)),"Check category"))</f>
      </c>
    </row>
    <row r="1176" spans="1:7" x14ac:dyDescent="0.25">
      <c r="A1176" s="22"/>
      <c r="B1176" s="5"/>
      <c r="C1176" s="5"/>
      <c r="D1176" s="23"/>
      <c r="E1176" s="5"/>
      <c r="F1176" s="5"/>
      <c r="G1176" s="31">
        <f>IF($B1176="","",IFERROR(INDEX(Settings!$B$41:$B$55,MATCH($B1176,Settings!$A$41:$A$55,0)),"Check category"))</f>
      </c>
    </row>
    <row r="1177" spans="1:7" x14ac:dyDescent="0.25">
      <c r="A1177" s="22"/>
      <c r="B1177" s="5"/>
      <c r="C1177" s="5"/>
      <c r="D1177" s="23"/>
      <c r="E1177" s="5"/>
      <c r="F1177" s="5"/>
      <c r="G1177" s="31">
        <f>IF($B1177="","",IFERROR(INDEX(Settings!$B$41:$B$55,MATCH($B1177,Settings!$A$41:$A$55,0)),"Check category"))</f>
      </c>
    </row>
    <row r="1178" spans="1:7" x14ac:dyDescent="0.25">
      <c r="A1178" s="22"/>
      <c r="B1178" s="5"/>
      <c r="C1178" s="5"/>
      <c r="D1178" s="23"/>
      <c r="E1178" s="5"/>
      <c r="F1178" s="5"/>
      <c r="G1178" s="31">
        <f>IF($B1178="","",IFERROR(INDEX(Settings!$B$41:$B$55,MATCH($B1178,Settings!$A$41:$A$55,0)),"Check category"))</f>
      </c>
    </row>
    <row r="1179" spans="1:7" x14ac:dyDescent="0.25">
      <c r="A1179" s="22"/>
      <c r="B1179" s="5"/>
      <c r="C1179" s="5"/>
      <c r="D1179" s="23"/>
      <c r="E1179" s="5"/>
      <c r="F1179" s="5"/>
      <c r="G1179" s="31">
        <f>IF($B1179="","",IFERROR(INDEX(Settings!$B$41:$B$55,MATCH($B1179,Settings!$A$41:$A$55,0)),"Check category"))</f>
      </c>
    </row>
    <row r="1180" spans="1:7" x14ac:dyDescent="0.25">
      <c r="A1180" s="22"/>
      <c r="B1180" s="5"/>
      <c r="C1180" s="5"/>
      <c r="D1180" s="23"/>
      <c r="E1180" s="5"/>
      <c r="F1180" s="5"/>
      <c r="G1180" s="31">
        <f>IF($B1180="","",IFERROR(INDEX(Settings!$B$41:$B$55,MATCH($B1180,Settings!$A$41:$A$55,0)),"Check category"))</f>
      </c>
    </row>
    <row r="1181" spans="1:7" x14ac:dyDescent="0.25">
      <c r="A1181" s="22"/>
      <c r="B1181" s="5"/>
      <c r="C1181" s="5"/>
      <c r="D1181" s="23"/>
      <c r="E1181" s="5"/>
      <c r="F1181" s="5"/>
      <c r="G1181" s="31">
        <f>IF($B1181="","",IFERROR(INDEX(Settings!$B$41:$B$55,MATCH($B1181,Settings!$A$41:$A$55,0)),"Check category"))</f>
      </c>
    </row>
    <row r="1182" spans="1:7" x14ac:dyDescent="0.25">
      <c r="A1182" s="22"/>
      <c r="B1182" s="5"/>
      <c r="C1182" s="5"/>
      <c r="D1182" s="23"/>
      <c r="E1182" s="5"/>
      <c r="F1182" s="5"/>
      <c r="G1182" s="31">
        <f>IF($B1182="","",IFERROR(INDEX(Settings!$B$41:$B$55,MATCH($B1182,Settings!$A$41:$A$55,0)),"Check category"))</f>
      </c>
    </row>
    <row r="1183" spans="1:7" x14ac:dyDescent="0.25">
      <c r="A1183" s="22"/>
      <c r="B1183" s="5"/>
      <c r="C1183" s="5"/>
      <c r="D1183" s="23"/>
      <c r="E1183" s="5"/>
      <c r="F1183" s="5"/>
      <c r="G1183" s="31">
        <f>IF($B1183="","",IFERROR(INDEX(Settings!$B$41:$B$55,MATCH($B1183,Settings!$A$41:$A$55,0)),"Check category"))</f>
      </c>
    </row>
    <row r="1184" spans="1:7" x14ac:dyDescent="0.25">
      <c r="A1184" s="22"/>
      <c r="B1184" s="5"/>
      <c r="C1184" s="5"/>
      <c r="D1184" s="23"/>
      <c r="E1184" s="5"/>
      <c r="F1184" s="5"/>
      <c r="G1184" s="31">
        <f>IF($B1184="","",IFERROR(INDEX(Settings!$B$41:$B$55,MATCH($B1184,Settings!$A$41:$A$55,0)),"Check category"))</f>
      </c>
    </row>
    <row r="1185" spans="1:7" x14ac:dyDescent="0.25">
      <c r="A1185" s="22"/>
      <c r="B1185" s="5"/>
      <c r="C1185" s="5"/>
      <c r="D1185" s="23"/>
      <c r="E1185" s="5"/>
      <c r="F1185" s="5"/>
      <c r="G1185" s="31">
        <f>IF($B1185="","",IFERROR(INDEX(Settings!$B$41:$B$55,MATCH($B1185,Settings!$A$41:$A$55,0)),"Check category"))</f>
      </c>
    </row>
    <row r="1186" spans="1:7" x14ac:dyDescent="0.25">
      <c r="A1186" s="22"/>
      <c r="B1186" s="5"/>
      <c r="C1186" s="5"/>
      <c r="D1186" s="23"/>
      <c r="E1186" s="5"/>
      <c r="F1186" s="5"/>
      <c r="G1186" s="31">
        <f>IF($B1186="","",IFERROR(INDEX(Settings!$B$41:$B$55,MATCH($B1186,Settings!$A$41:$A$55,0)),"Check category"))</f>
      </c>
    </row>
    <row r="1187" spans="1:7" x14ac:dyDescent="0.25">
      <c r="A1187" s="22"/>
      <c r="B1187" s="5"/>
      <c r="C1187" s="5"/>
      <c r="D1187" s="23"/>
      <c r="E1187" s="5"/>
      <c r="F1187" s="5"/>
      <c r="G1187" s="31">
        <f>IF($B1187="","",IFERROR(INDEX(Settings!$B$41:$B$55,MATCH($B1187,Settings!$A$41:$A$55,0)),"Check category"))</f>
      </c>
    </row>
    <row r="1188" spans="1:7" x14ac:dyDescent="0.25">
      <c r="A1188" s="22"/>
      <c r="B1188" s="5"/>
      <c r="C1188" s="5"/>
      <c r="D1188" s="23"/>
      <c r="E1188" s="5"/>
      <c r="F1188" s="5"/>
      <c r="G1188" s="31">
        <f>IF($B1188="","",IFERROR(INDEX(Settings!$B$41:$B$55,MATCH($B1188,Settings!$A$41:$A$55,0)),"Check category"))</f>
      </c>
    </row>
    <row r="1189" spans="1:7" x14ac:dyDescent="0.25">
      <c r="A1189" s="22"/>
      <c r="B1189" s="5"/>
      <c r="C1189" s="5"/>
      <c r="D1189" s="23"/>
      <c r="E1189" s="5"/>
      <c r="F1189" s="5"/>
      <c r="G1189" s="31">
        <f>IF($B1189="","",IFERROR(INDEX(Settings!$B$41:$B$55,MATCH($B1189,Settings!$A$41:$A$55,0)),"Check category"))</f>
      </c>
    </row>
    <row r="1190" spans="1:7" x14ac:dyDescent="0.25">
      <c r="A1190" s="22"/>
      <c r="B1190" s="5"/>
      <c r="C1190" s="5"/>
      <c r="D1190" s="23"/>
      <c r="E1190" s="5"/>
      <c r="F1190" s="5"/>
      <c r="G1190" s="31">
        <f>IF($B1190="","",IFERROR(INDEX(Settings!$B$41:$B$55,MATCH($B1190,Settings!$A$41:$A$55,0)),"Check category"))</f>
      </c>
    </row>
    <row r="1191" spans="1:7" x14ac:dyDescent="0.25">
      <c r="A1191" s="22"/>
      <c r="B1191" s="5"/>
      <c r="C1191" s="5"/>
      <c r="D1191" s="23"/>
      <c r="E1191" s="5"/>
      <c r="F1191" s="5"/>
      <c r="G1191" s="31">
        <f>IF($B1191="","",IFERROR(INDEX(Settings!$B$41:$B$55,MATCH($B1191,Settings!$A$41:$A$55,0)),"Check category"))</f>
      </c>
    </row>
    <row r="1192" spans="1:7" x14ac:dyDescent="0.25">
      <c r="A1192" s="22"/>
      <c r="B1192" s="5"/>
      <c r="C1192" s="5"/>
      <c r="D1192" s="23"/>
      <c r="E1192" s="5"/>
      <c r="F1192" s="5"/>
      <c r="G1192" s="31">
        <f>IF($B1192="","",IFERROR(INDEX(Settings!$B$41:$B$55,MATCH($B1192,Settings!$A$41:$A$55,0)),"Check category"))</f>
      </c>
    </row>
    <row r="1193" spans="1:7" x14ac:dyDescent="0.25">
      <c r="A1193" s="22"/>
      <c r="B1193" s="5"/>
      <c r="C1193" s="5"/>
      <c r="D1193" s="23"/>
      <c r="E1193" s="5"/>
      <c r="F1193" s="5"/>
      <c r="G1193" s="31">
        <f>IF($B1193="","",IFERROR(INDEX(Settings!$B$41:$B$55,MATCH($B1193,Settings!$A$41:$A$55,0)),"Check category"))</f>
      </c>
    </row>
    <row r="1194" spans="1:7" x14ac:dyDescent="0.25">
      <c r="A1194" s="22"/>
      <c r="B1194" s="5"/>
      <c r="C1194" s="5"/>
      <c r="D1194" s="23"/>
      <c r="E1194" s="5"/>
      <c r="F1194" s="5"/>
      <c r="G1194" s="31">
        <f>IF($B1194="","",IFERROR(INDEX(Settings!$B$41:$B$55,MATCH($B1194,Settings!$A$41:$A$55,0)),"Check category"))</f>
      </c>
    </row>
    <row r="1195" spans="1:7" x14ac:dyDescent="0.25">
      <c r="A1195" s="22"/>
      <c r="B1195" s="5"/>
      <c r="C1195" s="5"/>
      <c r="D1195" s="23"/>
      <c r="E1195" s="5"/>
      <c r="F1195" s="5"/>
      <c r="G1195" s="31">
        <f>IF($B1195="","",IFERROR(INDEX(Settings!$B$41:$B$55,MATCH($B1195,Settings!$A$41:$A$55,0)),"Check category"))</f>
      </c>
    </row>
    <row r="1196" spans="1:7" x14ac:dyDescent="0.25">
      <c r="A1196" s="22"/>
      <c r="B1196" s="5"/>
      <c r="C1196" s="5"/>
      <c r="D1196" s="23"/>
      <c r="E1196" s="5"/>
      <c r="F1196" s="5"/>
      <c r="G1196" s="31">
        <f>IF($B1196="","",IFERROR(INDEX(Settings!$B$41:$B$55,MATCH($B1196,Settings!$A$41:$A$55,0)),"Check category"))</f>
      </c>
    </row>
    <row r="1197" spans="1:7" x14ac:dyDescent="0.25">
      <c r="A1197" s="22"/>
      <c r="B1197" s="5"/>
      <c r="C1197" s="5"/>
      <c r="D1197" s="23"/>
      <c r="E1197" s="5"/>
      <c r="F1197" s="5"/>
      <c r="G1197" s="31">
        <f>IF($B1197="","",IFERROR(INDEX(Settings!$B$41:$B$55,MATCH($B1197,Settings!$A$41:$A$55,0)),"Check category"))</f>
      </c>
    </row>
    <row r="1198" spans="1:7" x14ac:dyDescent="0.25">
      <c r="A1198" s="22"/>
      <c r="B1198" s="5"/>
      <c r="C1198" s="5"/>
      <c r="D1198" s="23"/>
      <c r="E1198" s="5"/>
      <c r="F1198" s="5"/>
      <c r="G1198" s="31">
        <f>IF($B1198="","",IFERROR(INDEX(Settings!$B$41:$B$55,MATCH($B1198,Settings!$A$41:$A$55,0)),"Check category"))</f>
      </c>
    </row>
    <row r="1199" spans="1:7" x14ac:dyDescent="0.25">
      <c r="A1199" s="22"/>
      <c r="B1199" s="5"/>
      <c r="C1199" s="5"/>
      <c r="D1199" s="23"/>
      <c r="E1199" s="5"/>
      <c r="F1199" s="5"/>
      <c r="G1199" s="31">
        <f>IF($B1199="","",IFERROR(INDEX(Settings!$B$41:$B$55,MATCH($B1199,Settings!$A$41:$A$55,0)),"Check category"))</f>
      </c>
    </row>
    <row r="1200" spans="1:7" x14ac:dyDescent="0.25">
      <c r="A1200" s="22"/>
      <c r="B1200" s="5"/>
      <c r="C1200" s="5"/>
      <c r="D1200" s="23"/>
      <c r="E1200" s="5"/>
      <c r="F1200" s="5"/>
      <c r="G1200" s="31">
        <f>IF($B1200="","",IFERROR(INDEX(Settings!$B$41:$B$55,MATCH($B1200,Settings!$A$41:$A$55,0)),"Check category"))</f>
      </c>
    </row>
    <row r="1201" spans="1:7" x14ac:dyDescent="0.25">
      <c r="A1201" s="22"/>
      <c r="B1201" s="5"/>
      <c r="C1201" s="5"/>
      <c r="D1201" s="23"/>
      <c r="E1201" s="5"/>
      <c r="F1201" s="5"/>
      <c r="G1201" s="31">
        <f>IF($B1201="","",IFERROR(INDEX(Settings!$B$41:$B$55,MATCH($B1201,Settings!$A$41:$A$55,0)),"Check category"))</f>
      </c>
    </row>
    <row r="1202" spans="1:7" x14ac:dyDescent="0.25">
      <c r="A1202" s="22"/>
      <c r="B1202" s="5"/>
      <c r="C1202" s="5"/>
      <c r="D1202" s="23"/>
      <c r="E1202" s="5"/>
      <c r="F1202" s="5"/>
      <c r="G1202" s="31">
        <f>IF($B1202="","",IFERROR(INDEX(Settings!$B$41:$B$55,MATCH($B1202,Settings!$A$41:$A$55,0)),"Check category"))</f>
      </c>
    </row>
    <row r="1203" spans="1:7" x14ac:dyDescent="0.25">
      <c r="A1203" s="22"/>
      <c r="B1203" s="5"/>
      <c r="C1203" s="5"/>
      <c r="D1203" s="23"/>
      <c r="E1203" s="5"/>
      <c r="F1203" s="5"/>
      <c r="G1203" s="31">
        <f>IF($B1203="","",IFERROR(INDEX(Settings!$B$41:$B$55,MATCH($B1203,Settings!$A$41:$A$55,0)),"Check category"))</f>
      </c>
    </row>
    <row r="1204" spans="1:7" x14ac:dyDescent="0.25">
      <c r="A1204" s="22"/>
      <c r="B1204" s="5"/>
      <c r="C1204" s="5"/>
      <c r="D1204" s="23"/>
      <c r="E1204" s="5"/>
      <c r="F1204" s="5"/>
      <c r="G1204" s="31">
        <f>IF($B1204="","",IFERROR(INDEX(Settings!$B$41:$B$55,MATCH($B1204,Settings!$A$41:$A$55,0)),"Check category"))</f>
      </c>
    </row>
    <row r="1205" spans="1:7" x14ac:dyDescent="0.25">
      <c r="A1205" s="22"/>
      <c r="B1205" s="5"/>
      <c r="C1205" s="5"/>
      <c r="D1205" s="23"/>
      <c r="E1205" s="5"/>
      <c r="F1205" s="5"/>
      <c r="G1205" s="31">
        <f>IF($B1205="","",IFERROR(INDEX(Settings!$B$41:$B$55,MATCH($B1205,Settings!$A$41:$A$55,0)),"Check category"))</f>
      </c>
    </row>
    <row r="1206" spans="1:7" x14ac:dyDescent="0.25">
      <c r="A1206" s="22"/>
      <c r="B1206" s="5"/>
      <c r="C1206" s="5"/>
      <c r="D1206" s="23"/>
      <c r="E1206" s="5"/>
      <c r="F1206" s="5"/>
      <c r="G1206" s="31">
        <f>IF($B1206="","",IFERROR(INDEX(Settings!$B$41:$B$55,MATCH($B1206,Settings!$A$41:$A$55,0)),"Check category"))</f>
      </c>
    </row>
    <row r="1207" spans="1:7" x14ac:dyDescent="0.25">
      <c r="A1207" s="22"/>
      <c r="B1207" s="5"/>
      <c r="C1207" s="5"/>
      <c r="D1207" s="23"/>
      <c r="E1207" s="5"/>
      <c r="F1207" s="5"/>
      <c r="G1207" s="31">
        <f>IF($B1207="","",IFERROR(INDEX(Settings!$B$41:$B$55,MATCH($B1207,Settings!$A$41:$A$55,0)),"Check category"))</f>
      </c>
    </row>
    <row r="1208" spans="1:7" x14ac:dyDescent="0.25">
      <c r="A1208" s="22"/>
      <c r="B1208" s="5"/>
      <c r="C1208" s="5"/>
      <c r="D1208" s="23"/>
      <c r="E1208" s="5"/>
      <c r="F1208" s="5"/>
      <c r="G1208" s="31">
        <f>IF($B1208="","",IFERROR(INDEX(Settings!$B$41:$B$55,MATCH($B1208,Settings!$A$41:$A$55,0)),"Check category"))</f>
      </c>
    </row>
    <row r="1209" spans="1:7" x14ac:dyDescent="0.25">
      <c r="A1209" s="22"/>
      <c r="B1209" s="5"/>
      <c r="C1209" s="5"/>
      <c r="D1209" s="23"/>
      <c r="E1209" s="5"/>
      <c r="F1209" s="5"/>
      <c r="G1209" s="31">
        <f>IF($B1209="","",IFERROR(INDEX(Settings!$B$41:$B$55,MATCH($B1209,Settings!$A$41:$A$55,0)),"Check category"))</f>
      </c>
    </row>
    <row r="1210" spans="1:7" x14ac:dyDescent="0.25">
      <c r="A1210" s="22"/>
      <c r="B1210" s="5"/>
      <c r="C1210" s="5"/>
      <c r="D1210" s="23"/>
      <c r="E1210" s="5"/>
      <c r="F1210" s="5"/>
      <c r="G1210" s="31">
        <f>IF($B1210="","",IFERROR(INDEX(Settings!$B$41:$B$55,MATCH($B1210,Settings!$A$41:$A$55,0)),"Check category"))</f>
      </c>
    </row>
    <row r="1211" spans="1:7" x14ac:dyDescent="0.25">
      <c r="A1211" s="22"/>
      <c r="B1211" s="5"/>
      <c r="C1211" s="5"/>
      <c r="D1211" s="23"/>
      <c r="E1211" s="5"/>
      <c r="F1211" s="5"/>
      <c r="G1211" s="31">
        <f>IF($B1211="","",IFERROR(INDEX(Settings!$B$41:$B$55,MATCH($B1211,Settings!$A$41:$A$55,0)),"Check category"))</f>
      </c>
    </row>
    <row r="1212" spans="1:7" x14ac:dyDescent="0.25">
      <c r="A1212" s="22"/>
      <c r="B1212" s="5"/>
      <c r="C1212" s="5"/>
      <c r="D1212" s="23"/>
      <c r="E1212" s="5"/>
      <c r="F1212" s="5"/>
      <c r="G1212" s="31">
        <f>IF($B1212="","",IFERROR(INDEX(Settings!$B$41:$B$55,MATCH($B1212,Settings!$A$41:$A$55,0)),"Check category"))</f>
      </c>
    </row>
    <row r="1213" spans="1:7" x14ac:dyDescent="0.25">
      <c r="A1213" s="22"/>
      <c r="B1213" s="5"/>
      <c r="C1213" s="5"/>
      <c r="D1213" s="23"/>
      <c r="E1213" s="5"/>
      <c r="F1213" s="5"/>
      <c r="G1213" s="31">
        <f>IF($B1213="","",IFERROR(INDEX(Settings!$B$41:$B$55,MATCH($B1213,Settings!$A$41:$A$55,0)),"Check category"))</f>
      </c>
    </row>
    <row r="1214" spans="1:7" x14ac:dyDescent="0.25">
      <c r="A1214" s="22"/>
      <c r="B1214" s="5"/>
      <c r="C1214" s="5"/>
      <c r="D1214" s="23"/>
      <c r="E1214" s="5"/>
      <c r="F1214" s="5"/>
      <c r="G1214" s="31">
        <f>IF($B1214="","",IFERROR(INDEX(Settings!$B$41:$B$55,MATCH($B1214,Settings!$A$41:$A$55,0)),"Check category"))</f>
      </c>
    </row>
    <row r="1215" spans="1:7" x14ac:dyDescent="0.25">
      <c r="A1215" s="22"/>
      <c r="B1215" s="5"/>
      <c r="C1215" s="5"/>
      <c r="D1215" s="23"/>
      <c r="E1215" s="5"/>
      <c r="F1215" s="5"/>
      <c r="G1215" s="31">
        <f>IF($B1215="","",IFERROR(INDEX(Settings!$B$41:$B$55,MATCH($B1215,Settings!$A$41:$A$55,0)),"Check category"))</f>
      </c>
    </row>
    <row r="1216" spans="1:7" x14ac:dyDescent="0.25">
      <c r="A1216" s="22"/>
      <c r="B1216" s="5"/>
      <c r="C1216" s="5"/>
      <c r="D1216" s="23"/>
      <c r="E1216" s="5"/>
      <c r="F1216" s="5"/>
      <c r="G1216" s="31">
        <f>IF($B1216="","",IFERROR(INDEX(Settings!$B$41:$B$55,MATCH($B1216,Settings!$A$41:$A$55,0)),"Check category"))</f>
      </c>
    </row>
    <row r="1217" spans="1:7" x14ac:dyDescent="0.25">
      <c r="A1217" s="22"/>
      <c r="B1217" s="5"/>
      <c r="C1217" s="5"/>
      <c r="D1217" s="23"/>
      <c r="E1217" s="5"/>
      <c r="F1217" s="5"/>
      <c r="G1217" s="31">
        <f>IF($B1217="","",IFERROR(INDEX(Settings!$B$41:$B$55,MATCH($B1217,Settings!$A$41:$A$55,0)),"Check category"))</f>
      </c>
    </row>
    <row r="1218" spans="1:7" x14ac:dyDescent="0.25">
      <c r="A1218" s="22"/>
      <c r="B1218" s="5"/>
      <c r="C1218" s="5"/>
      <c r="D1218" s="23"/>
      <c r="E1218" s="5"/>
      <c r="F1218" s="5"/>
      <c r="G1218" s="31">
        <f>IF($B1218="","",IFERROR(INDEX(Settings!$B$41:$B$55,MATCH($B1218,Settings!$A$41:$A$55,0)),"Check category"))</f>
      </c>
    </row>
    <row r="1219" spans="1:7" x14ac:dyDescent="0.25">
      <c r="A1219" s="22"/>
      <c r="B1219" s="5"/>
      <c r="C1219" s="5"/>
      <c r="D1219" s="23"/>
      <c r="E1219" s="5"/>
      <c r="F1219" s="5"/>
      <c r="G1219" s="31">
        <f>IF($B1219="","",IFERROR(INDEX(Settings!$B$41:$B$55,MATCH($B1219,Settings!$A$41:$A$55,0)),"Check category"))</f>
      </c>
    </row>
    <row r="1220" spans="1:7" x14ac:dyDescent="0.25">
      <c r="A1220" s="22"/>
      <c r="B1220" s="5"/>
      <c r="C1220" s="5"/>
      <c r="D1220" s="23"/>
      <c r="E1220" s="5"/>
      <c r="F1220" s="5"/>
      <c r="G1220" s="31">
        <f>IF($B1220="","",IFERROR(INDEX(Settings!$B$41:$B$55,MATCH($B1220,Settings!$A$41:$A$55,0)),"Check category"))</f>
      </c>
    </row>
    <row r="1221" spans="1:7" x14ac:dyDescent="0.25">
      <c r="A1221" s="22"/>
      <c r="B1221" s="5"/>
      <c r="C1221" s="5"/>
      <c r="D1221" s="23"/>
      <c r="E1221" s="5"/>
      <c r="F1221" s="5"/>
      <c r="G1221" s="31">
        <f>IF($B1221="","",IFERROR(INDEX(Settings!$B$41:$B$55,MATCH($B1221,Settings!$A$41:$A$55,0)),"Check category"))</f>
      </c>
    </row>
    <row r="1222" spans="1:7" x14ac:dyDescent="0.25">
      <c r="A1222" s="22"/>
      <c r="B1222" s="5"/>
      <c r="C1222" s="5"/>
      <c r="D1222" s="23"/>
      <c r="E1222" s="5"/>
      <c r="F1222" s="5"/>
      <c r="G1222" s="31">
        <f>IF($B1222="","",IFERROR(INDEX(Settings!$B$41:$B$55,MATCH($B1222,Settings!$A$41:$A$55,0)),"Check category"))</f>
      </c>
    </row>
    <row r="1223" spans="1:7" x14ac:dyDescent="0.25">
      <c r="A1223" s="22"/>
      <c r="B1223" s="5"/>
      <c r="C1223" s="5"/>
      <c r="D1223" s="23"/>
      <c r="E1223" s="5"/>
      <c r="F1223" s="5"/>
      <c r="G1223" s="31">
        <f>IF($B1223="","",IFERROR(INDEX(Settings!$B$41:$B$55,MATCH($B1223,Settings!$A$41:$A$55,0)),"Check category"))</f>
      </c>
    </row>
    <row r="1224" spans="1:7" x14ac:dyDescent="0.25">
      <c r="A1224" s="22"/>
      <c r="B1224" s="5"/>
      <c r="C1224" s="5"/>
      <c r="D1224" s="23"/>
      <c r="E1224" s="5"/>
      <c r="F1224" s="5"/>
      <c r="G1224" s="31">
        <f>IF($B1224="","",IFERROR(INDEX(Settings!$B$41:$B$55,MATCH($B1224,Settings!$A$41:$A$55,0)),"Check category"))</f>
      </c>
    </row>
    <row r="1225" spans="1:7" x14ac:dyDescent="0.25">
      <c r="A1225" s="22"/>
      <c r="B1225" s="5"/>
      <c r="C1225" s="5"/>
      <c r="D1225" s="23"/>
      <c r="E1225" s="5"/>
      <c r="F1225" s="5"/>
      <c r="G1225" s="31">
        <f>IF($B1225="","",IFERROR(INDEX(Settings!$B$41:$B$55,MATCH($B1225,Settings!$A$41:$A$55,0)),"Check category"))</f>
      </c>
    </row>
    <row r="1226" spans="1:7" x14ac:dyDescent="0.25">
      <c r="A1226" s="22"/>
      <c r="B1226" s="5"/>
      <c r="C1226" s="5"/>
      <c r="D1226" s="23"/>
      <c r="E1226" s="5"/>
      <c r="F1226" s="5"/>
      <c r="G1226" s="31">
        <f>IF($B1226="","",IFERROR(INDEX(Settings!$B$41:$B$55,MATCH($B1226,Settings!$A$41:$A$55,0)),"Check category"))</f>
      </c>
    </row>
    <row r="1227" spans="1:7" x14ac:dyDescent="0.25">
      <c r="A1227" s="22"/>
      <c r="B1227" s="5"/>
      <c r="C1227" s="5"/>
      <c r="D1227" s="23"/>
      <c r="E1227" s="5"/>
      <c r="F1227" s="5"/>
      <c r="G1227" s="31">
        <f>IF($B1227="","",IFERROR(INDEX(Settings!$B$41:$B$55,MATCH($B1227,Settings!$A$41:$A$55,0)),"Check category"))</f>
      </c>
    </row>
    <row r="1228" spans="1:7" x14ac:dyDescent="0.25">
      <c r="A1228" s="22"/>
      <c r="B1228" s="5"/>
      <c r="C1228" s="5"/>
      <c r="D1228" s="23"/>
      <c r="E1228" s="5"/>
      <c r="F1228" s="5"/>
      <c r="G1228" s="31">
        <f>IF($B1228="","",IFERROR(INDEX(Settings!$B$41:$B$55,MATCH($B1228,Settings!$A$41:$A$55,0)),"Check category"))</f>
      </c>
    </row>
    <row r="1229" spans="1:7" x14ac:dyDescent="0.25">
      <c r="A1229" s="22"/>
      <c r="B1229" s="5"/>
      <c r="C1229" s="5"/>
      <c r="D1229" s="23"/>
      <c r="E1229" s="5"/>
      <c r="F1229" s="5"/>
      <c r="G1229" s="31">
        <f>IF($B1229="","",IFERROR(INDEX(Settings!$B$41:$B$55,MATCH($B1229,Settings!$A$41:$A$55,0)),"Check category"))</f>
      </c>
    </row>
    <row r="1230" spans="1:7" x14ac:dyDescent="0.25">
      <c r="A1230" s="22"/>
      <c r="B1230" s="5"/>
      <c r="C1230" s="5"/>
      <c r="D1230" s="23"/>
      <c r="E1230" s="5"/>
      <c r="F1230" s="5"/>
      <c r="G1230" s="31">
        <f>IF($B1230="","",IFERROR(INDEX(Settings!$B$41:$B$55,MATCH($B1230,Settings!$A$41:$A$55,0)),"Check category"))</f>
      </c>
    </row>
    <row r="1231" spans="1:7" x14ac:dyDescent="0.25">
      <c r="A1231" s="22"/>
      <c r="B1231" s="5"/>
      <c r="C1231" s="5"/>
      <c r="D1231" s="23"/>
      <c r="E1231" s="5"/>
      <c r="F1231" s="5"/>
      <c r="G1231" s="31">
        <f>IF($B1231="","",IFERROR(INDEX(Settings!$B$41:$B$55,MATCH($B1231,Settings!$A$41:$A$55,0)),"Check category"))</f>
      </c>
    </row>
    <row r="1232" spans="1:7" x14ac:dyDescent="0.25">
      <c r="A1232" s="22"/>
      <c r="B1232" s="5"/>
      <c r="C1232" s="5"/>
      <c r="D1232" s="23"/>
      <c r="E1232" s="5"/>
      <c r="F1232" s="5"/>
      <c r="G1232" s="31">
        <f>IF($B1232="","",IFERROR(INDEX(Settings!$B$41:$B$55,MATCH($B1232,Settings!$A$41:$A$55,0)),"Check category"))</f>
      </c>
    </row>
    <row r="1233" spans="1:7" x14ac:dyDescent="0.25">
      <c r="A1233" s="22"/>
      <c r="B1233" s="5"/>
      <c r="C1233" s="5"/>
      <c r="D1233" s="23"/>
      <c r="E1233" s="5"/>
      <c r="F1233" s="5"/>
      <c r="G1233" s="31">
        <f>IF($B1233="","",IFERROR(INDEX(Settings!$B$41:$B$55,MATCH($B1233,Settings!$A$41:$A$55,0)),"Check category"))</f>
      </c>
    </row>
    <row r="1234" spans="1:7" x14ac:dyDescent="0.25">
      <c r="A1234" s="22"/>
      <c r="B1234" s="5"/>
      <c r="C1234" s="5"/>
      <c r="D1234" s="23"/>
      <c r="E1234" s="5"/>
      <c r="F1234" s="5"/>
      <c r="G1234" s="31">
        <f>IF($B1234="","",IFERROR(INDEX(Settings!$B$41:$B$55,MATCH($B1234,Settings!$A$41:$A$55,0)),"Check category"))</f>
      </c>
    </row>
    <row r="1235" spans="1:7" x14ac:dyDescent="0.25">
      <c r="A1235" s="22"/>
      <c r="B1235" s="5"/>
      <c r="C1235" s="5"/>
      <c r="D1235" s="23"/>
      <c r="E1235" s="5"/>
      <c r="F1235" s="5"/>
      <c r="G1235" s="31">
        <f>IF($B1235="","",IFERROR(INDEX(Settings!$B$41:$B$55,MATCH($B1235,Settings!$A$41:$A$55,0)),"Check category"))</f>
      </c>
    </row>
    <row r="1236" spans="1:7" x14ac:dyDescent="0.25">
      <c r="A1236" s="22"/>
      <c r="B1236" s="5"/>
      <c r="C1236" s="5"/>
      <c r="D1236" s="23"/>
      <c r="E1236" s="5"/>
      <c r="F1236" s="5"/>
      <c r="G1236" s="31">
        <f>IF($B1236="","",IFERROR(INDEX(Settings!$B$41:$B$55,MATCH($B1236,Settings!$A$41:$A$55,0)),"Check category"))</f>
      </c>
    </row>
    <row r="1237" spans="1:7" x14ac:dyDescent="0.25">
      <c r="A1237" s="22"/>
      <c r="B1237" s="5"/>
      <c r="C1237" s="5"/>
      <c r="D1237" s="23"/>
      <c r="E1237" s="5"/>
      <c r="F1237" s="5"/>
      <c r="G1237" s="31">
        <f>IF($B1237="","",IFERROR(INDEX(Settings!$B$41:$B$55,MATCH($B1237,Settings!$A$41:$A$55,0)),"Check category"))</f>
      </c>
    </row>
    <row r="1238" spans="1:7" x14ac:dyDescent="0.25">
      <c r="A1238" s="22"/>
      <c r="B1238" s="5"/>
      <c r="C1238" s="5"/>
      <c r="D1238" s="23"/>
      <c r="E1238" s="5"/>
      <c r="F1238" s="5"/>
      <c r="G1238" s="31">
        <f>IF($B1238="","",IFERROR(INDEX(Settings!$B$41:$B$55,MATCH($B1238,Settings!$A$41:$A$55,0)),"Check category"))</f>
      </c>
    </row>
    <row r="1239" spans="1:7" x14ac:dyDescent="0.25">
      <c r="A1239" s="22"/>
      <c r="B1239" s="5"/>
      <c r="C1239" s="5"/>
      <c r="D1239" s="23"/>
      <c r="E1239" s="5"/>
      <c r="F1239" s="5"/>
      <c r="G1239" s="31">
        <f>IF($B1239="","",IFERROR(INDEX(Settings!$B$41:$B$55,MATCH($B1239,Settings!$A$41:$A$55,0)),"Check category"))</f>
      </c>
    </row>
    <row r="1240" spans="1:7" x14ac:dyDescent="0.25">
      <c r="A1240" s="22"/>
      <c r="B1240" s="5"/>
      <c r="C1240" s="5"/>
      <c r="D1240" s="23"/>
      <c r="E1240" s="5"/>
      <c r="F1240" s="5"/>
      <c r="G1240" s="31">
        <f>IF($B1240="","",IFERROR(INDEX(Settings!$B$41:$B$55,MATCH($B1240,Settings!$A$41:$A$55,0)),"Check category"))</f>
      </c>
    </row>
    <row r="1241" spans="1:7" x14ac:dyDescent="0.25">
      <c r="A1241" s="22"/>
      <c r="B1241" s="5"/>
      <c r="C1241" s="5"/>
      <c r="D1241" s="23"/>
      <c r="E1241" s="5"/>
      <c r="F1241" s="5"/>
      <c r="G1241" s="31">
        <f>IF($B1241="","",IFERROR(INDEX(Settings!$B$41:$B$55,MATCH($B1241,Settings!$A$41:$A$55,0)),"Check category"))</f>
      </c>
    </row>
    <row r="1242" spans="1:7" x14ac:dyDescent="0.25">
      <c r="A1242" s="22"/>
      <c r="B1242" s="5"/>
      <c r="C1242" s="5"/>
      <c r="D1242" s="23"/>
      <c r="E1242" s="5"/>
      <c r="F1242" s="5"/>
      <c r="G1242" s="31">
        <f>IF($B1242="","",IFERROR(INDEX(Settings!$B$41:$B$55,MATCH($B1242,Settings!$A$41:$A$55,0)),"Check category"))</f>
      </c>
    </row>
    <row r="1243" spans="1:7" x14ac:dyDescent="0.25">
      <c r="A1243" s="22"/>
      <c r="B1243" s="5"/>
      <c r="C1243" s="5"/>
      <c r="D1243" s="23"/>
      <c r="E1243" s="5"/>
      <c r="F1243" s="5"/>
      <c r="G1243" s="31">
        <f>IF($B1243="","",IFERROR(INDEX(Settings!$B$41:$B$55,MATCH($B1243,Settings!$A$41:$A$55,0)),"Check category"))</f>
      </c>
    </row>
    <row r="1244" spans="1:7" x14ac:dyDescent="0.25">
      <c r="A1244" s="22"/>
      <c r="B1244" s="5"/>
      <c r="C1244" s="5"/>
      <c r="D1244" s="23"/>
      <c r="E1244" s="5"/>
      <c r="F1244" s="5"/>
      <c r="G1244" s="31">
        <f>IF($B1244="","",IFERROR(INDEX(Settings!$B$41:$B$55,MATCH($B1244,Settings!$A$41:$A$55,0)),"Check category"))</f>
      </c>
    </row>
    <row r="1245" spans="1:7" x14ac:dyDescent="0.25">
      <c r="A1245" s="22"/>
      <c r="B1245" s="5"/>
      <c r="C1245" s="5"/>
      <c r="D1245" s="23"/>
      <c r="E1245" s="5"/>
      <c r="F1245" s="5"/>
      <c r="G1245" s="31">
        <f>IF($B1245="","",IFERROR(INDEX(Settings!$B$41:$B$55,MATCH($B1245,Settings!$A$41:$A$55,0)),"Check category"))</f>
      </c>
    </row>
    <row r="1246" spans="1:7" x14ac:dyDescent="0.25">
      <c r="A1246" s="22"/>
      <c r="B1246" s="5"/>
      <c r="C1246" s="5"/>
      <c r="D1246" s="23"/>
      <c r="E1246" s="5"/>
      <c r="F1246" s="5"/>
      <c r="G1246" s="31">
        <f>IF($B1246="","",IFERROR(INDEX(Settings!$B$41:$B$55,MATCH($B1246,Settings!$A$41:$A$55,0)),"Check category"))</f>
      </c>
    </row>
    <row r="1247" spans="1:7" x14ac:dyDescent="0.25">
      <c r="A1247" s="22"/>
      <c r="B1247" s="5"/>
      <c r="C1247" s="5"/>
      <c r="D1247" s="23"/>
      <c r="E1247" s="5"/>
      <c r="F1247" s="5"/>
      <c r="G1247" s="31">
        <f>IF($B1247="","",IFERROR(INDEX(Settings!$B$41:$B$55,MATCH($B1247,Settings!$A$41:$A$55,0)),"Check category"))</f>
      </c>
    </row>
    <row r="1248" spans="1:7" x14ac:dyDescent="0.25">
      <c r="A1248" s="22"/>
      <c r="B1248" s="5"/>
      <c r="C1248" s="5"/>
      <c r="D1248" s="23"/>
      <c r="E1248" s="5"/>
      <c r="F1248" s="5"/>
      <c r="G1248" s="31">
        <f>IF($B1248="","",IFERROR(INDEX(Settings!$B$41:$B$55,MATCH($B1248,Settings!$A$41:$A$55,0)),"Check category"))</f>
      </c>
    </row>
    <row r="1249" spans="1:7" x14ac:dyDescent="0.25">
      <c r="A1249" s="22"/>
      <c r="B1249" s="5"/>
      <c r="C1249" s="5"/>
      <c r="D1249" s="23"/>
      <c r="E1249" s="5"/>
      <c r="F1249" s="5"/>
      <c r="G1249" s="31">
        <f>IF($B1249="","",IFERROR(INDEX(Settings!$B$41:$B$55,MATCH($B1249,Settings!$A$41:$A$55,0)),"Check category"))</f>
      </c>
    </row>
    <row r="1250" spans="1:7" x14ac:dyDescent="0.25">
      <c r="A1250" s="22"/>
      <c r="B1250" s="5"/>
      <c r="C1250" s="5"/>
      <c r="D1250" s="23"/>
      <c r="E1250" s="5"/>
      <c r="F1250" s="5"/>
      <c r="G1250" s="31">
        <f>IF($B1250="","",IFERROR(INDEX(Settings!$B$41:$B$55,MATCH($B1250,Settings!$A$41:$A$55,0)),"Check category"))</f>
      </c>
    </row>
    <row r="1251" spans="1:7" x14ac:dyDescent="0.25">
      <c r="A1251" s="22"/>
      <c r="B1251" s="5"/>
      <c r="C1251" s="5"/>
      <c r="D1251" s="23"/>
      <c r="E1251" s="5"/>
      <c r="F1251" s="5"/>
      <c r="G1251" s="31">
        <f>IF($B1251="","",IFERROR(INDEX(Settings!$B$41:$B$55,MATCH($B1251,Settings!$A$41:$A$55,0)),"Check category"))</f>
      </c>
    </row>
    <row r="1252" spans="1:7" x14ac:dyDescent="0.25">
      <c r="A1252" s="22"/>
      <c r="B1252" s="5"/>
      <c r="C1252" s="5"/>
      <c r="D1252" s="23"/>
      <c r="E1252" s="5"/>
      <c r="F1252" s="5"/>
      <c r="G1252" s="31">
        <f>IF($B1252="","",IFERROR(INDEX(Settings!$B$41:$B$55,MATCH($B1252,Settings!$A$41:$A$55,0)),"Check category"))</f>
      </c>
    </row>
    <row r="1253" spans="1:7" x14ac:dyDescent="0.25">
      <c r="A1253" s="22"/>
      <c r="B1253" s="5"/>
      <c r="C1253" s="5"/>
      <c r="D1253" s="23"/>
      <c r="E1253" s="5"/>
      <c r="F1253" s="5"/>
      <c r="G1253" s="31">
        <f>IF($B1253="","",IFERROR(INDEX(Settings!$B$41:$B$55,MATCH($B1253,Settings!$A$41:$A$55,0)),"Check category"))</f>
      </c>
    </row>
    <row r="1254" spans="1:7" x14ac:dyDescent="0.25">
      <c r="A1254" s="22"/>
      <c r="B1254" s="5"/>
      <c r="C1254" s="5"/>
      <c r="D1254" s="23"/>
      <c r="E1254" s="5"/>
      <c r="F1254" s="5"/>
      <c r="G1254" s="31">
        <f>IF($B1254="","",IFERROR(INDEX(Settings!$B$41:$B$55,MATCH($B1254,Settings!$A$41:$A$55,0)),"Check category"))</f>
      </c>
    </row>
    <row r="1255" spans="1:7" x14ac:dyDescent="0.25">
      <c r="A1255" s="22"/>
      <c r="B1255" s="5"/>
      <c r="C1255" s="5"/>
      <c r="D1255" s="23"/>
      <c r="E1255" s="5"/>
      <c r="F1255" s="5"/>
      <c r="G1255" s="31">
        <f>IF($B1255="","",IFERROR(INDEX(Settings!$B$41:$B$55,MATCH($B1255,Settings!$A$41:$A$55,0)),"Check category"))</f>
      </c>
    </row>
    <row r="1256" spans="1:7" x14ac:dyDescent="0.25">
      <c r="A1256" s="22"/>
      <c r="B1256" s="5"/>
      <c r="C1256" s="5"/>
      <c r="D1256" s="23"/>
      <c r="E1256" s="5"/>
      <c r="F1256" s="5"/>
      <c r="G1256" s="31">
        <f>IF($B1256="","",IFERROR(INDEX(Settings!$B$41:$B$55,MATCH($B1256,Settings!$A$41:$A$55,0)),"Check category"))</f>
      </c>
    </row>
    <row r="1257" spans="1:7" x14ac:dyDescent="0.25">
      <c r="A1257" s="22"/>
      <c r="B1257" s="5"/>
      <c r="C1257" s="5"/>
      <c r="D1257" s="23"/>
      <c r="E1257" s="5"/>
      <c r="F1257" s="5"/>
      <c r="G1257" s="31">
        <f>IF($B1257="","",IFERROR(INDEX(Settings!$B$41:$B$55,MATCH($B1257,Settings!$A$41:$A$55,0)),"Check category"))</f>
      </c>
    </row>
    <row r="1258" spans="1:7" x14ac:dyDescent="0.25">
      <c r="A1258" s="22"/>
      <c r="B1258" s="5"/>
      <c r="C1258" s="5"/>
      <c r="D1258" s="23"/>
      <c r="E1258" s="5"/>
      <c r="F1258" s="5"/>
      <c r="G1258" s="31">
        <f>IF($B1258="","",IFERROR(INDEX(Settings!$B$41:$B$55,MATCH($B1258,Settings!$A$41:$A$55,0)),"Check category"))</f>
      </c>
    </row>
    <row r="1259" spans="1:7" x14ac:dyDescent="0.25">
      <c r="A1259" s="22"/>
      <c r="B1259" s="5"/>
      <c r="C1259" s="5"/>
      <c r="D1259" s="23"/>
      <c r="E1259" s="5"/>
      <c r="F1259" s="5"/>
      <c r="G1259" s="31">
        <f>IF($B1259="","",IFERROR(INDEX(Settings!$B$41:$B$55,MATCH($B1259,Settings!$A$41:$A$55,0)),"Check category"))</f>
      </c>
    </row>
    <row r="1260" spans="1:7" x14ac:dyDescent="0.25">
      <c r="A1260" s="22"/>
      <c r="B1260" s="5"/>
      <c r="C1260" s="5"/>
      <c r="D1260" s="23"/>
      <c r="E1260" s="5"/>
      <c r="F1260" s="5"/>
      <c r="G1260" s="31">
        <f>IF($B1260="","",IFERROR(INDEX(Settings!$B$41:$B$55,MATCH($B1260,Settings!$A$41:$A$55,0)),"Check category"))</f>
      </c>
    </row>
    <row r="1261" spans="1:7" x14ac:dyDescent="0.25">
      <c r="A1261" s="22"/>
      <c r="B1261" s="5"/>
      <c r="C1261" s="5"/>
      <c r="D1261" s="23"/>
      <c r="E1261" s="5"/>
      <c r="F1261" s="5"/>
      <c r="G1261" s="31">
        <f>IF($B1261="","",IFERROR(INDEX(Settings!$B$41:$B$55,MATCH($B1261,Settings!$A$41:$A$55,0)),"Check category"))</f>
      </c>
    </row>
    <row r="1262" spans="1:7" x14ac:dyDescent="0.25">
      <c r="A1262" s="22"/>
      <c r="B1262" s="5"/>
      <c r="C1262" s="5"/>
      <c r="D1262" s="23"/>
      <c r="E1262" s="5"/>
      <c r="F1262" s="5"/>
      <c r="G1262" s="31">
        <f>IF($B1262="","",IFERROR(INDEX(Settings!$B$41:$B$55,MATCH($B1262,Settings!$A$41:$A$55,0)),"Check category"))</f>
      </c>
    </row>
    <row r="1263" spans="1:7" x14ac:dyDescent="0.25">
      <c r="A1263" s="22"/>
      <c r="B1263" s="5"/>
      <c r="C1263" s="5"/>
      <c r="D1263" s="23"/>
      <c r="E1263" s="5"/>
      <c r="F1263" s="5"/>
      <c r="G1263" s="31">
        <f>IF($B1263="","",IFERROR(INDEX(Settings!$B$41:$B$55,MATCH($B1263,Settings!$A$41:$A$55,0)),"Check category"))</f>
      </c>
    </row>
    <row r="1264" spans="1:7" x14ac:dyDescent="0.25">
      <c r="A1264" s="22"/>
      <c r="B1264" s="5"/>
      <c r="C1264" s="5"/>
      <c r="D1264" s="23"/>
      <c r="E1264" s="5"/>
      <c r="F1264" s="5"/>
      <c r="G1264" s="31">
        <f>IF($B1264="","",IFERROR(INDEX(Settings!$B$41:$B$55,MATCH($B1264,Settings!$A$41:$A$55,0)),"Check category"))</f>
      </c>
    </row>
    <row r="1265" spans="1:7" x14ac:dyDescent="0.25">
      <c r="A1265" s="22"/>
      <c r="B1265" s="5"/>
      <c r="C1265" s="5"/>
      <c r="D1265" s="23"/>
      <c r="E1265" s="5"/>
      <c r="F1265" s="5"/>
      <c r="G1265" s="31">
        <f>IF($B1265="","",IFERROR(INDEX(Settings!$B$41:$B$55,MATCH($B1265,Settings!$A$41:$A$55,0)),"Check category"))</f>
      </c>
    </row>
    <row r="1266" spans="1:7" x14ac:dyDescent="0.25">
      <c r="A1266" s="22"/>
      <c r="B1266" s="5"/>
      <c r="C1266" s="5"/>
      <c r="D1266" s="23"/>
      <c r="E1266" s="5"/>
      <c r="F1266" s="5"/>
      <c r="G1266" s="31">
        <f>IF($B1266="","",IFERROR(INDEX(Settings!$B$41:$B$55,MATCH($B1266,Settings!$A$41:$A$55,0)),"Check category"))</f>
      </c>
    </row>
    <row r="1267" spans="1:7" x14ac:dyDescent="0.25">
      <c r="A1267" s="22"/>
      <c r="B1267" s="5"/>
      <c r="C1267" s="5"/>
      <c r="D1267" s="23"/>
      <c r="E1267" s="5"/>
      <c r="F1267" s="5"/>
      <c r="G1267" s="31">
        <f>IF($B1267="","",IFERROR(INDEX(Settings!$B$41:$B$55,MATCH($B1267,Settings!$A$41:$A$55,0)),"Check category"))</f>
      </c>
    </row>
    <row r="1268" spans="1:7" x14ac:dyDescent="0.25">
      <c r="A1268" s="22"/>
      <c r="B1268" s="5"/>
      <c r="C1268" s="5"/>
      <c r="D1268" s="23"/>
      <c r="E1268" s="5"/>
      <c r="F1268" s="5"/>
      <c r="G1268" s="31">
        <f>IF($B1268="","",IFERROR(INDEX(Settings!$B$41:$B$55,MATCH($B1268,Settings!$A$41:$A$55,0)),"Check category"))</f>
      </c>
    </row>
    <row r="1269" spans="1:7" x14ac:dyDescent="0.25">
      <c r="A1269" s="22"/>
      <c r="B1269" s="5"/>
      <c r="C1269" s="5"/>
      <c r="D1269" s="23"/>
      <c r="E1269" s="5"/>
      <c r="F1269" s="5"/>
      <c r="G1269" s="31">
        <f>IF($B1269="","",IFERROR(INDEX(Settings!$B$41:$B$55,MATCH($B1269,Settings!$A$41:$A$55,0)),"Check category"))</f>
      </c>
    </row>
    <row r="1270" spans="1:7" x14ac:dyDescent="0.25">
      <c r="A1270" s="22"/>
      <c r="B1270" s="5"/>
      <c r="C1270" s="5"/>
      <c r="D1270" s="23"/>
      <c r="E1270" s="5"/>
      <c r="F1270" s="5"/>
      <c r="G1270" s="31">
        <f>IF($B1270="","",IFERROR(INDEX(Settings!$B$41:$B$55,MATCH($B1270,Settings!$A$41:$A$55,0)),"Check category"))</f>
      </c>
    </row>
    <row r="1271" spans="1:7" x14ac:dyDescent="0.25">
      <c r="A1271" s="22"/>
      <c r="B1271" s="5"/>
      <c r="C1271" s="5"/>
      <c r="D1271" s="23"/>
      <c r="E1271" s="5"/>
      <c r="F1271" s="5"/>
      <c r="G1271" s="31">
        <f>IF($B1271="","",IFERROR(INDEX(Settings!$B$41:$B$55,MATCH($B1271,Settings!$A$41:$A$55,0)),"Check category"))</f>
      </c>
    </row>
    <row r="1272" spans="1:7" x14ac:dyDescent="0.25">
      <c r="A1272" s="22"/>
      <c r="B1272" s="5"/>
      <c r="C1272" s="5"/>
      <c r="D1272" s="23"/>
      <c r="E1272" s="5"/>
      <c r="F1272" s="5"/>
      <c r="G1272" s="31">
        <f>IF($B1272="","",IFERROR(INDEX(Settings!$B$41:$B$55,MATCH($B1272,Settings!$A$41:$A$55,0)),"Check category"))</f>
      </c>
    </row>
    <row r="1273" spans="1:7" x14ac:dyDescent="0.25">
      <c r="A1273" s="22"/>
      <c r="B1273" s="5"/>
      <c r="C1273" s="5"/>
      <c r="D1273" s="23"/>
      <c r="E1273" s="5"/>
      <c r="F1273" s="5"/>
      <c r="G1273" s="31">
        <f>IF($B1273="","",IFERROR(INDEX(Settings!$B$41:$B$55,MATCH($B1273,Settings!$A$41:$A$55,0)),"Check category"))</f>
      </c>
    </row>
    <row r="1274" spans="1:7" x14ac:dyDescent="0.25">
      <c r="A1274" s="22"/>
      <c r="B1274" s="5"/>
      <c r="C1274" s="5"/>
      <c r="D1274" s="23"/>
      <c r="E1274" s="5"/>
      <c r="F1274" s="5"/>
      <c r="G1274" s="31">
        <f>IF($B1274="","",IFERROR(INDEX(Settings!$B$41:$B$55,MATCH($B1274,Settings!$A$41:$A$55,0)),"Check category"))</f>
      </c>
    </row>
    <row r="1275" spans="1:7" x14ac:dyDescent="0.25">
      <c r="A1275" s="22"/>
      <c r="B1275" s="5"/>
      <c r="C1275" s="5"/>
      <c r="D1275" s="23"/>
      <c r="E1275" s="5"/>
      <c r="F1275" s="5"/>
      <c r="G1275" s="31">
        <f>IF($B1275="","",IFERROR(INDEX(Settings!$B$41:$B$55,MATCH($B1275,Settings!$A$41:$A$55,0)),"Check category"))</f>
      </c>
    </row>
    <row r="1276" spans="1:7" x14ac:dyDescent="0.25">
      <c r="A1276" s="22"/>
      <c r="B1276" s="5"/>
      <c r="C1276" s="5"/>
      <c r="D1276" s="23"/>
      <c r="E1276" s="5"/>
      <c r="F1276" s="5"/>
      <c r="G1276" s="31">
        <f>IF($B1276="","",IFERROR(INDEX(Settings!$B$41:$B$55,MATCH($B1276,Settings!$A$41:$A$55,0)),"Check category"))</f>
      </c>
    </row>
    <row r="1277" spans="1:7" x14ac:dyDescent="0.25">
      <c r="A1277" s="22"/>
      <c r="B1277" s="5"/>
      <c r="C1277" s="5"/>
      <c r="D1277" s="23"/>
      <c r="E1277" s="5"/>
      <c r="F1277" s="5"/>
      <c r="G1277" s="31">
        <f>IF($B1277="","",IFERROR(INDEX(Settings!$B$41:$B$55,MATCH($B1277,Settings!$A$41:$A$55,0)),"Check category"))</f>
      </c>
    </row>
    <row r="1278" spans="1:7" x14ac:dyDescent="0.25">
      <c r="A1278" s="22"/>
      <c r="B1278" s="5"/>
      <c r="C1278" s="5"/>
      <c r="D1278" s="23"/>
      <c r="E1278" s="5"/>
      <c r="F1278" s="5"/>
      <c r="G1278" s="31">
        <f>IF($B1278="","",IFERROR(INDEX(Settings!$B$41:$B$55,MATCH($B1278,Settings!$A$41:$A$55,0)),"Check category"))</f>
      </c>
    </row>
    <row r="1279" spans="1:7" x14ac:dyDescent="0.25">
      <c r="A1279" s="22"/>
      <c r="B1279" s="5"/>
      <c r="C1279" s="5"/>
      <c r="D1279" s="23"/>
      <c r="E1279" s="5"/>
      <c r="F1279" s="5"/>
      <c r="G1279" s="31">
        <f>IF($B1279="","",IFERROR(INDEX(Settings!$B$41:$B$55,MATCH($B1279,Settings!$A$41:$A$55,0)),"Check category"))</f>
      </c>
    </row>
    <row r="1280" spans="1:7" x14ac:dyDescent="0.25">
      <c r="A1280" s="22"/>
      <c r="B1280" s="5"/>
      <c r="C1280" s="5"/>
      <c r="D1280" s="23"/>
      <c r="E1280" s="5"/>
      <c r="F1280" s="5"/>
      <c r="G1280" s="31">
        <f>IF($B1280="","",IFERROR(INDEX(Settings!$B$41:$B$55,MATCH($B1280,Settings!$A$41:$A$55,0)),"Check category"))</f>
      </c>
    </row>
    <row r="1281" spans="1:7" x14ac:dyDescent="0.25">
      <c r="A1281" s="22"/>
      <c r="B1281" s="5"/>
      <c r="C1281" s="5"/>
      <c r="D1281" s="23"/>
      <c r="E1281" s="5"/>
      <c r="F1281" s="5"/>
      <c r="G1281" s="31">
        <f>IF($B1281="","",IFERROR(INDEX(Settings!$B$41:$B$55,MATCH($B1281,Settings!$A$41:$A$55,0)),"Check category"))</f>
      </c>
    </row>
    <row r="1282" spans="1:7" x14ac:dyDescent="0.25">
      <c r="A1282" s="22"/>
      <c r="B1282" s="5"/>
      <c r="C1282" s="5"/>
      <c r="D1282" s="23"/>
      <c r="E1282" s="5"/>
      <c r="F1282" s="5"/>
      <c r="G1282" s="31">
        <f>IF($B1282="","",IFERROR(INDEX(Settings!$B$41:$B$55,MATCH($B1282,Settings!$A$41:$A$55,0)),"Check category"))</f>
      </c>
    </row>
    <row r="1283" spans="1:7" x14ac:dyDescent="0.25">
      <c r="A1283" s="22"/>
      <c r="B1283" s="5"/>
      <c r="C1283" s="5"/>
      <c r="D1283" s="23"/>
      <c r="E1283" s="5"/>
      <c r="F1283" s="5"/>
      <c r="G1283" s="31">
        <f>IF($B1283="","",IFERROR(INDEX(Settings!$B$41:$B$55,MATCH($B1283,Settings!$A$41:$A$55,0)),"Check category"))</f>
      </c>
    </row>
    <row r="1284" spans="1:7" x14ac:dyDescent="0.25">
      <c r="A1284" s="22"/>
      <c r="B1284" s="5"/>
      <c r="C1284" s="5"/>
      <c r="D1284" s="23"/>
      <c r="E1284" s="5"/>
      <c r="F1284" s="5"/>
      <c r="G1284" s="31">
        <f>IF($B1284="","",IFERROR(INDEX(Settings!$B$41:$B$55,MATCH($B1284,Settings!$A$41:$A$55,0)),"Check category"))</f>
      </c>
    </row>
    <row r="1285" spans="1:7" x14ac:dyDescent="0.25">
      <c r="A1285" s="22"/>
      <c r="B1285" s="5"/>
      <c r="C1285" s="5"/>
      <c r="D1285" s="23"/>
      <c r="E1285" s="5"/>
      <c r="F1285" s="5"/>
      <c r="G1285" s="31">
        <f>IF($B1285="","",IFERROR(INDEX(Settings!$B$41:$B$55,MATCH($B1285,Settings!$A$41:$A$55,0)),"Check category"))</f>
      </c>
    </row>
    <row r="1286" spans="1:7" x14ac:dyDescent="0.25">
      <c r="A1286" s="22"/>
      <c r="B1286" s="5"/>
      <c r="C1286" s="5"/>
      <c r="D1286" s="23"/>
      <c r="E1286" s="5"/>
      <c r="F1286" s="5"/>
      <c r="G1286" s="31">
        <f>IF($B1286="","",IFERROR(INDEX(Settings!$B$41:$B$55,MATCH($B1286,Settings!$A$41:$A$55,0)),"Check category"))</f>
      </c>
    </row>
    <row r="1287" spans="1:7" x14ac:dyDescent="0.25">
      <c r="A1287" s="22"/>
      <c r="B1287" s="5"/>
      <c r="C1287" s="5"/>
      <c r="D1287" s="23"/>
      <c r="E1287" s="5"/>
      <c r="F1287" s="5"/>
      <c r="G1287" s="31">
        <f>IF($B1287="","",IFERROR(INDEX(Settings!$B$41:$B$55,MATCH($B1287,Settings!$A$41:$A$55,0)),"Check category"))</f>
      </c>
    </row>
    <row r="1288" spans="1:7" x14ac:dyDescent="0.25">
      <c r="A1288" s="22"/>
      <c r="B1288" s="5"/>
      <c r="C1288" s="5"/>
      <c r="D1288" s="23"/>
      <c r="E1288" s="5"/>
      <c r="F1288" s="5"/>
      <c r="G1288" s="31">
        <f>IF($B1288="","",IFERROR(INDEX(Settings!$B$41:$B$55,MATCH($B1288,Settings!$A$41:$A$55,0)),"Check category"))</f>
      </c>
    </row>
    <row r="1289" spans="1:7" x14ac:dyDescent="0.25">
      <c r="A1289" s="22"/>
      <c r="B1289" s="5"/>
      <c r="C1289" s="5"/>
      <c r="D1289" s="23"/>
      <c r="E1289" s="5"/>
      <c r="F1289" s="5"/>
      <c r="G1289" s="31">
        <f>IF($B1289="","",IFERROR(INDEX(Settings!$B$41:$B$55,MATCH($B1289,Settings!$A$41:$A$55,0)),"Check category"))</f>
      </c>
    </row>
    <row r="1290" spans="1:7" x14ac:dyDescent="0.25">
      <c r="A1290" s="22"/>
      <c r="B1290" s="5"/>
      <c r="C1290" s="5"/>
      <c r="D1290" s="23"/>
      <c r="E1290" s="5"/>
      <c r="F1290" s="5"/>
      <c r="G1290" s="31">
        <f>IF($B1290="","",IFERROR(INDEX(Settings!$B$41:$B$55,MATCH($B1290,Settings!$A$41:$A$55,0)),"Check category"))</f>
      </c>
    </row>
    <row r="1291" spans="1:7" x14ac:dyDescent="0.25">
      <c r="A1291" s="22"/>
      <c r="B1291" s="5"/>
      <c r="C1291" s="5"/>
      <c r="D1291" s="23"/>
      <c r="E1291" s="5"/>
      <c r="F1291" s="5"/>
      <c r="G1291" s="31">
        <f>IF($B1291="","",IFERROR(INDEX(Settings!$B$41:$B$55,MATCH($B1291,Settings!$A$41:$A$55,0)),"Check category"))</f>
      </c>
    </row>
    <row r="1292" spans="1:7" x14ac:dyDescent="0.25">
      <c r="A1292" s="22"/>
      <c r="B1292" s="5"/>
      <c r="C1292" s="5"/>
      <c r="D1292" s="23"/>
      <c r="E1292" s="5"/>
      <c r="F1292" s="5"/>
      <c r="G1292" s="31">
        <f>IF($B1292="","",IFERROR(INDEX(Settings!$B$41:$B$55,MATCH($B1292,Settings!$A$41:$A$55,0)),"Check category"))</f>
      </c>
    </row>
    <row r="1293" spans="1:7" x14ac:dyDescent="0.25">
      <c r="A1293" s="22"/>
      <c r="B1293" s="5"/>
      <c r="C1293" s="5"/>
      <c r="D1293" s="23"/>
      <c r="E1293" s="5"/>
      <c r="F1293" s="5"/>
      <c r="G1293" s="31">
        <f>IF($B1293="","",IFERROR(INDEX(Settings!$B$41:$B$55,MATCH($B1293,Settings!$A$41:$A$55,0)),"Check category"))</f>
      </c>
    </row>
    <row r="1294" spans="1:7" x14ac:dyDescent="0.25">
      <c r="A1294" s="22"/>
      <c r="B1294" s="5"/>
      <c r="C1294" s="5"/>
      <c r="D1294" s="23"/>
      <c r="E1294" s="5"/>
      <c r="F1294" s="5"/>
      <c r="G1294" s="31">
        <f>IF($B1294="","",IFERROR(INDEX(Settings!$B$41:$B$55,MATCH($B1294,Settings!$A$41:$A$55,0)),"Check category"))</f>
      </c>
    </row>
    <row r="1295" spans="1:7" x14ac:dyDescent="0.25">
      <c r="A1295" s="22"/>
      <c r="B1295" s="5"/>
      <c r="C1295" s="5"/>
      <c r="D1295" s="23"/>
      <c r="E1295" s="5"/>
      <c r="F1295" s="5"/>
      <c r="G1295" s="31">
        <f>IF($B1295="","",IFERROR(INDEX(Settings!$B$41:$B$55,MATCH($B1295,Settings!$A$41:$A$55,0)),"Check category"))</f>
      </c>
    </row>
    <row r="1296" spans="1:7" x14ac:dyDescent="0.25">
      <c r="A1296" s="22"/>
      <c r="B1296" s="5"/>
      <c r="C1296" s="5"/>
      <c r="D1296" s="23"/>
      <c r="E1296" s="5"/>
      <c r="F1296" s="5"/>
      <c r="G1296" s="31">
        <f>IF($B1296="","",IFERROR(INDEX(Settings!$B$41:$B$55,MATCH($B1296,Settings!$A$41:$A$55,0)),"Check category"))</f>
      </c>
    </row>
    <row r="1297" spans="1:7" x14ac:dyDescent="0.25">
      <c r="A1297" s="22"/>
      <c r="B1297" s="5"/>
      <c r="C1297" s="5"/>
      <c r="D1297" s="23"/>
      <c r="E1297" s="5"/>
      <c r="F1297" s="5"/>
      <c r="G1297" s="31">
        <f>IF($B1297="","",IFERROR(INDEX(Settings!$B$41:$B$55,MATCH($B1297,Settings!$A$41:$A$55,0)),"Check category"))</f>
      </c>
    </row>
    <row r="1298" spans="1:7" x14ac:dyDescent="0.25">
      <c r="A1298" s="22"/>
      <c r="B1298" s="5"/>
      <c r="C1298" s="5"/>
      <c r="D1298" s="23"/>
      <c r="E1298" s="5"/>
      <c r="F1298" s="5"/>
      <c r="G1298" s="31">
        <f>IF($B1298="","",IFERROR(INDEX(Settings!$B$41:$B$55,MATCH($B1298,Settings!$A$41:$A$55,0)),"Check category"))</f>
      </c>
    </row>
    <row r="1299" spans="1:7" x14ac:dyDescent="0.25">
      <c r="A1299" s="22"/>
      <c r="B1299" s="5"/>
      <c r="C1299" s="5"/>
      <c r="D1299" s="23"/>
      <c r="E1299" s="5"/>
      <c r="F1299" s="5"/>
      <c r="G1299" s="31">
        <f>IF($B1299="","",IFERROR(INDEX(Settings!$B$41:$B$55,MATCH($B1299,Settings!$A$41:$A$55,0)),"Check category"))</f>
      </c>
    </row>
    <row r="1300" spans="1:7" x14ac:dyDescent="0.25">
      <c r="A1300" s="22"/>
      <c r="B1300" s="5"/>
      <c r="C1300" s="5"/>
      <c r="D1300" s="23"/>
      <c r="E1300" s="5"/>
      <c r="F1300" s="5"/>
      <c r="G1300" s="31">
        <f>IF($B1300="","",IFERROR(INDEX(Settings!$B$41:$B$55,MATCH($B1300,Settings!$A$41:$A$55,0)),"Check category"))</f>
      </c>
    </row>
    <row r="1301" spans="1:7" x14ac:dyDescent="0.25">
      <c r="A1301" s="22"/>
      <c r="B1301" s="5"/>
      <c r="C1301" s="5"/>
      <c r="D1301" s="23"/>
      <c r="E1301" s="5"/>
      <c r="F1301" s="5"/>
      <c r="G1301" s="31">
        <f>IF($B1301="","",IFERROR(INDEX(Settings!$B$41:$B$55,MATCH($B1301,Settings!$A$41:$A$55,0)),"Check category"))</f>
      </c>
    </row>
    <row r="1302" spans="1:7" x14ac:dyDescent="0.25">
      <c r="A1302" s="22"/>
      <c r="B1302" s="5"/>
      <c r="C1302" s="5"/>
      <c r="D1302" s="23"/>
      <c r="E1302" s="5"/>
      <c r="F1302" s="5"/>
      <c r="G1302" s="31">
        <f>IF($B1302="","",IFERROR(INDEX(Settings!$B$41:$B$55,MATCH($B1302,Settings!$A$41:$A$55,0)),"Check category"))</f>
      </c>
    </row>
    <row r="1303" spans="1:7" x14ac:dyDescent="0.25">
      <c r="A1303" s="22"/>
      <c r="B1303" s="5"/>
      <c r="C1303" s="5"/>
      <c r="D1303" s="23"/>
      <c r="E1303" s="5"/>
      <c r="F1303" s="5"/>
      <c r="G1303" s="31">
        <f>IF($B1303="","",IFERROR(INDEX(Settings!$B$41:$B$55,MATCH($B1303,Settings!$A$41:$A$55,0)),"Check category"))</f>
      </c>
    </row>
    <row r="1304" spans="1:7" x14ac:dyDescent="0.25">
      <c r="A1304" s="22"/>
      <c r="B1304" s="5"/>
      <c r="C1304" s="5"/>
      <c r="D1304" s="23"/>
      <c r="E1304" s="5"/>
      <c r="F1304" s="5"/>
      <c r="G1304" s="31">
        <f>IF($B1304="","",IFERROR(INDEX(Settings!$B$41:$B$55,MATCH($B1304,Settings!$A$41:$A$55,0)),"Check category"))</f>
      </c>
    </row>
    <row r="1305" spans="1:7" x14ac:dyDescent="0.25">
      <c r="A1305" s="22"/>
      <c r="B1305" s="5"/>
      <c r="C1305" s="5"/>
      <c r="D1305" s="23"/>
      <c r="E1305" s="5"/>
      <c r="F1305" s="5"/>
      <c r="G1305" s="31">
        <f>IF($B1305="","",IFERROR(INDEX(Settings!$B$41:$B$55,MATCH($B1305,Settings!$A$41:$A$55,0)),"Check category"))</f>
      </c>
    </row>
    <row r="1306" spans="1:7" x14ac:dyDescent="0.25">
      <c r="A1306" s="22"/>
      <c r="B1306" s="5"/>
      <c r="C1306" s="5"/>
      <c r="D1306" s="23"/>
      <c r="E1306" s="5"/>
      <c r="F1306" s="5"/>
      <c r="G1306" s="31">
        <f>IF($B1306="","",IFERROR(INDEX(Settings!$B$41:$B$55,MATCH($B1306,Settings!$A$41:$A$55,0)),"Check category"))</f>
      </c>
    </row>
    <row r="1307" spans="1:7" x14ac:dyDescent="0.25">
      <c r="A1307" s="22"/>
      <c r="B1307" s="5"/>
      <c r="C1307" s="5"/>
      <c r="D1307" s="23"/>
      <c r="E1307" s="5"/>
      <c r="F1307" s="5"/>
      <c r="G1307" s="31">
        <f>IF($B1307="","",IFERROR(INDEX(Settings!$B$41:$B$55,MATCH($B1307,Settings!$A$41:$A$55,0)),"Check category"))</f>
      </c>
    </row>
    <row r="1308" spans="1:7" x14ac:dyDescent="0.25">
      <c r="A1308" s="22"/>
      <c r="B1308" s="5"/>
      <c r="C1308" s="5"/>
      <c r="D1308" s="23"/>
      <c r="E1308" s="5"/>
      <c r="F1308" s="5"/>
      <c r="G1308" s="31">
        <f>IF($B1308="","",IFERROR(INDEX(Settings!$B$41:$B$55,MATCH($B1308,Settings!$A$41:$A$55,0)),"Check category"))</f>
      </c>
    </row>
    <row r="1309" spans="1:7" x14ac:dyDescent="0.25">
      <c r="A1309" s="22"/>
      <c r="B1309" s="5"/>
      <c r="C1309" s="5"/>
      <c r="D1309" s="23"/>
      <c r="E1309" s="5"/>
      <c r="F1309" s="5"/>
      <c r="G1309" s="31">
        <f>IF($B1309="","",IFERROR(INDEX(Settings!$B$41:$B$55,MATCH($B1309,Settings!$A$41:$A$55,0)),"Check category"))</f>
      </c>
    </row>
    <row r="1310" spans="1:7" x14ac:dyDescent="0.25">
      <c r="A1310" s="22"/>
      <c r="B1310" s="5"/>
      <c r="C1310" s="5"/>
      <c r="D1310" s="23"/>
      <c r="E1310" s="5"/>
      <c r="F1310" s="5"/>
      <c r="G1310" s="31">
        <f>IF($B1310="","",IFERROR(INDEX(Settings!$B$41:$B$55,MATCH($B1310,Settings!$A$41:$A$55,0)),"Check category"))</f>
      </c>
    </row>
    <row r="1311" spans="1:7" x14ac:dyDescent="0.25">
      <c r="A1311" s="22"/>
      <c r="B1311" s="5"/>
      <c r="C1311" s="5"/>
      <c r="D1311" s="23"/>
      <c r="E1311" s="5"/>
      <c r="F1311" s="5"/>
      <c r="G1311" s="31">
        <f>IF($B1311="","",IFERROR(INDEX(Settings!$B$41:$B$55,MATCH($B1311,Settings!$A$41:$A$55,0)),"Check category"))</f>
      </c>
    </row>
    <row r="1312" spans="1:7" x14ac:dyDescent="0.25">
      <c r="A1312" s="22"/>
      <c r="B1312" s="5"/>
      <c r="C1312" s="5"/>
      <c r="D1312" s="23"/>
      <c r="E1312" s="5"/>
      <c r="F1312" s="5"/>
      <c r="G1312" s="31">
        <f>IF($B1312="","",IFERROR(INDEX(Settings!$B$41:$B$55,MATCH($B1312,Settings!$A$41:$A$55,0)),"Check category"))</f>
      </c>
    </row>
    <row r="1313" spans="1:7" x14ac:dyDescent="0.25">
      <c r="A1313" s="22"/>
      <c r="B1313" s="5"/>
      <c r="C1313" s="5"/>
      <c r="D1313" s="23"/>
      <c r="E1313" s="5"/>
      <c r="F1313" s="5"/>
      <c r="G1313" s="31">
        <f>IF($B1313="","",IFERROR(INDEX(Settings!$B$41:$B$55,MATCH($B1313,Settings!$A$41:$A$55,0)),"Check category"))</f>
      </c>
    </row>
    <row r="1314" spans="1:7" x14ac:dyDescent="0.25">
      <c r="A1314" s="22"/>
      <c r="B1314" s="5"/>
      <c r="C1314" s="5"/>
      <c r="D1314" s="23"/>
      <c r="E1314" s="5"/>
      <c r="F1314" s="5"/>
      <c r="G1314" s="31">
        <f>IF($B1314="","",IFERROR(INDEX(Settings!$B$41:$B$55,MATCH($B1314,Settings!$A$41:$A$55,0)),"Check category"))</f>
      </c>
    </row>
    <row r="1315" spans="1:7" x14ac:dyDescent="0.25">
      <c r="A1315" s="22"/>
      <c r="B1315" s="5"/>
      <c r="C1315" s="5"/>
      <c r="D1315" s="23"/>
      <c r="E1315" s="5"/>
      <c r="F1315" s="5"/>
      <c r="G1315" s="31">
        <f>IF($B1315="","",IFERROR(INDEX(Settings!$B$41:$B$55,MATCH($B1315,Settings!$A$41:$A$55,0)),"Check category"))</f>
      </c>
    </row>
    <row r="1316" spans="1:7" x14ac:dyDescent="0.25">
      <c r="A1316" s="22"/>
      <c r="B1316" s="5"/>
      <c r="C1316" s="5"/>
      <c r="D1316" s="23"/>
      <c r="E1316" s="5"/>
      <c r="F1316" s="5"/>
      <c r="G1316" s="31">
        <f>IF($B1316="","",IFERROR(INDEX(Settings!$B$41:$B$55,MATCH($B1316,Settings!$A$41:$A$55,0)),"Check category"))</f>
      </c>
    </row>
    <row r="1317" spans="1:7" x14ac:dyDescent="0.25">
      <c r="A1317" s="22"/>
      <c r="B1317" s="5"/>
      <c r="C1317" s="5"/>
      <c r="D1317" s="23"/>
      <c r="E1317" s="5"/>
      <c r="F1317" s="5"/>
      <c r="G1317" s="31">
        <f>IF($B1317="","",IFERROR(INDEX(Settings!$B$41:$B$55,MATCH($B1317,Settings!$A$41:$A$55,0)),"Check category"))</f>
      </c>
    </row>
    <row r="1318" spans="1:7" x14ac:dyDescent="0.25">
      <c r="A1318" s="22"/>
      <c r="B1318" s="5"/>
      <c r="C1318" s="5"/>
      <c r="D1318" s="23"/>
      <c r="E1318" s="5"/>
      <c r="F1318" s="5"/>
      <c r="G1318" s="31">
        <f>IF($B1318="","",IFERROR(INDEX(Settings!$B$41:$B$55,MATCH($B1318,Settings!$A$41:$A$55,0)),"Check category"))</f>
      </c>
    </row>
    <row r="1319" spans="1:7" x14ac:dyDescent="0.25">
      <c r="A1319" s="22"/>
      <c r="B1319" s="5"/>
      <c r="C1319" s="5"/>
      <c r="D1319" s="23"/>
      <c r="E1319" s="5"/>
      <c r="F1319" s="5"/>
      <c r="G1319" s="31">
        <f>IF($B1319="","",IFERROR(INDEX(Settings!$B$41:$B$55,MATCH($B1319,Settings!$A$41:$A$55,0)),"Check category"))</f>
      </c>
    </row>
    <row r="1320" spans="1:7" x14ac:dyDescent="0.25">
      <c r="A1320" s="22"/>
      <c r="B1320" s="5"/>
      <c r="C1320" s="5"/>
      <c r="D1320" s="23"/>
      <c r="E1320" s="5"/>
      <c r="F1320" s="5"/>
      <c r="G1320" s="31">
        <f>IF($B1320="","",IFERROR(INDEX(Settings!$B$41:$B$55,MATCH($B1320,Settings!$A$41:$A$55,0)),"Check category"))</f>
      </c>
    </row>
    <row r="1321" spans="1:7" x14ac:dyDescent="0.25">
      <c r="A1321" s="22"/>
      <c r="B1321" s="5"/>
      <c r="C1321" s="5"/>
      <c r="D1321" s="23"/>
      <c r="E1321" s="5"/>
      <c r="F1321" s="5"/>
      <c r="G1321" s="31">
        <f>IF($B1321="","",IFERROR(INDEX(Settings!$B$41:$B$55,MATCH($B1321,Settings!$A$41:$A$55,0)),"Check category"))</f>
      </c>
    </row>
    <row r="1322" spans="1:7" x14ac:dyDescent="0.25">
      <c r="A1322" s="22"/>
      <c r="B1322" s="5"/>
      <c r="C1322" s="5"/>
      <c r="D1322" s="23"/>
      <c r="E1322" s="5"/>
      <c r="F1322" s="5"/>
      <c r="G1322" s="31">
        <f>IF($B1322="","",IFERROR(INDEX(Settings!$B$41:$B$55,MATCH($B1322,Settings!$A$41:$A$55,0)),"Check category"))</f>
      </c>
    </row>
    <row r="1323" spans="1:7" x14ac:dyDescent="0.25">
      <c r="A1323" s="22"/>
      <c r="B1323" s="5"/>
      <c r="C1323" s="5"/>
      <c r="D1323" s="23"/>
      <c r="E1323" s="5"/>
      <c r="F1323" s="5"/>
      <c r="G1323" s="31">
        <f>IF($B1323="","",IFERROR(INDEX(Settings!$B$41:$B$55,MATCH($B1323,Settings!$A$41:$A$55,0)),"Check category"))</f>
      </c>
    </row>
    <row r="1324" spans="1:7" x14ac:dyDescent="0.25">
      <c r="A1324" s="22"/>
      <c r="B1324" s="5"/>
      <c r="C1324" s="5"/>
      <c r="D1324" s="23"/>
      <c r="E1324" s="5"/>
      <c r="F1324" s="5"/>
      <c r="G1324" s="31">
        <f>IF($B1324="","",IFERROR(INDEX(Settings!$B$41:$B$55,MATCH($B1324,Settings!$A$41:$A$55,0)),"Check category"))</f>
      </c>
    </row>
    <row r="1325" spans="1:7" x14ac:dyDescent="0.25">
      <c r="A1325" s="22"/>
      <c r="B1325" s="5"/>
      <c r="C1325" s="5"/>
      <c r="D1325" s="23"/>
      <c r="E1325" s="5"/>
      <c r="F1325" s="5"/>
      <c r="G1325" s="31">
        <f>IF($B1325="","",IFERROR(INDEX(Settings!$B$41:$B$55,MATCH($B1325,Settings!$A$41:$A$55,0)),"Check category"))</f>
      </c>
    </row>
    <row r="1326" spans="1:7" x14ac:dyDescent="0.25">
      <c r="A1326" s="22"/>
      <c r="B1326" s="5"/>
      <c r="C1326" s="5"/>
      <c r="D1326" s="23"/>
      <c r="E1326" s="5"/>
      <c r="F1326" s="5"/>
      <c r="G1326" s="31">
        <f>IF($B1326="","",IFERROR(INDEX(Settings!$B$41:$B$55,MATCH($B1326,Settings!$A$41:$A$55,0)),"Check category"))</f>
      </c>
    </row>
    <row r="1327" spans="1:7" x14ac:dyDescent="0.25">
      <c r="A1327" s="22"/>
      <c r="B1327" s="5"/>
      <c r="C1327" s="5"/>
      <c r="D1327" s="23"/>
      <c r="E1327" s="5"/>
      <c r="F1327" s="5"/>
      <c r="G1327" s="31">
        <f>IF($B1327="","",IFERROR(INDEX(Settings!$B$41:$B$55,MATCH($B1327,Settings!$A$41:$A$55,0)),"Check category"))</f>
      </c>
    </row>
    <row r="1328" spans="1:7" x14ac:dyDescent="0.25">
      <c r="A1328" s="22"/>
      <c r="B1328" s="5"/>
      <c r="C1328" s="5"/>
      <c r="D1328" s="23"/>
      <c r="E1328" s="5"/>
      <c r="F1328" s="5"/>
      <c r="G1328" s="31">
        <f>IF($B1328="","",IFERROR(INDEX(Settings!$B$41:$B$55,MATCH($B1328,Settings!$A$41:$A$55,0)),"Check category"))</f>
      </c>
    </row>
    <row r="1329" spans="1:7" x14ac:dyDescent="0.25">
      <c r="A1329" s="22"/>
      <c r="B1329" s="5"/>
      <c r="C1329" s="5"/>
      <c r="D1329" s="23"/>
      <c r="E1329" s="5"/>
      <c r="F1329" s="5"/>
      <c r="G1329" s="31">
        <f>IF($B1329="","",IFERROR(INDEX(Settings!$B$41:$B$55,MATCH($B1329,Settings!$A$41:$A$55,0)),"Check category"))</f>
      </c>
    </row>
    <row r="1330" spans="1:7" x14ac:dyDescent="0.25">
      <c r="A1330" s="22"/>
      <c r="B1330" s="5"/>
      <c r="C1330" s="5"/>
      <c r="D1330" s="23"/>
      <c r="E1330" s="5"/>
      <c r="F1330" s="5"/>
      <c r="G1330" s="31">
        <f>IF($B1330="","",IFERROR(INDEX(Settings!$B$41:$B$55,MATCH($B1330,Settings!$A$41:$A$55,0)),"Check category"))</f>
      </c>
    </row>
    <row r="1331" spans="1:7" x14ac:dyDescent="0.25">
      <c r="A1331" s="22"/>
      <c r="B1331" s="5"/>
      <c r="C1331" s="5"/>
      <c r="D1331" s="23"/>
      <c r="E1331" s="5"/>
      <c r="F1331" s="5"/>
      <c r="G1331" s="31">
        <f>IF($B1331="","",IFERROR(INDEX(Settings!$B$41:$B$55,MATCH($B1331,Settings!$A$41:$A$55,0)),"Check category"))</f>
      </c>
    </row>
    <row r="1332" spans="1:7" x14ac:dyDescent="0.25">
      <c r="A1332" s="22"/>
      <c r="B1332" s="5"/>
      <c r="C1332" s="5"/>
      <c r="D1332" s="23"/>
      <c r="E1332" s="5"/>
      <c r="F1332" s="5"/>
      <c r="G1332" s="31">
        <f>IF($B1332="","",IFERROR(INDEX(Settings!$B$41:$B$55,MATCH($B1332,Settings!$A$41:$A$55,0)),"Check category"))</f>
      </c>
    </row>
    <row r="1333" spans="1:7" x14ac:dyDescent="0.25">
      <c r="A1333" s="22"/>
      <c r="B1333" s="5"/>
      <c r="C1333" s="5"/>
      <c r="D1333" s="23"/>
      <c r="E1333" s="5"/>
      <c r="F1333" s="5"/>
      <c r="G1333" s="31">
        <f>IF($B1333="","",IFERROR(INDEX(Settings!$B$41:$B$55,MATCH($B1333,Settings!$A$41:$A$55,0)),"Check category"))</f>
      </c>
    </row>
    <row r="1334" spans="1:7" x14ac:dyDescent="0.25">
      <c r="A1334" s="22"/>
      <c r="B1334" s="5"/>
      <c r="C1334" s="5"/>
      <c r="D1334" s="23"/>
      <c r="E1334" s="5"/>
      <c r="F1334" s="5"/>
      <c r="G1334" s="31">
        <f>IF($B1334="","",IFERROR(INDEX(Settings!$B$41:$B$55,MATCH($B1334,Settings!$A$41:$A$55,0)),"Check category"))</f>
      </c>
    </row>
    <row r="1335" spans="1:7" x14ac:dyDescent="0.25">
      <c r="A1335" s="22"/>
      <c r="B1335" s="5"/>
      <c r="C1335" s="5"/>
      <c r="D1335" s="23"/>
      <c r="E1335" s="5"/>
      <c r="F1335" s="5"/>
      <c r="G1335" s="31">
        <f>IF($B1335="","",IFERROR(INDEX(Settings!$B$41:$B$55,MATCH($B1335,Settings!$A$41:$A$55,0)),"Check category"))</f>
      </c>
    </row>
    <row r="1336" spans="1:7" x14ac:dyDescent="0.25">
      <c r="A1336" s="22"/>
      <c r="B1336" s="5"/>
      <c r="C1336" s="5"/>
      <c r="D1336" s="23"/>
      <c r="E1336" s="5"/>
      <c r="F1336" s="5"/>
      <c r="G1336" s="31">
        <f>IF($B1336="","",IFERROR(INDEX(Settings!$B$41:$B$55,MATCH($B1336,Settings!$A$41:$A$55,0)),"Check category"))</f>
      </c>
    </row>
    <row r="1337" spans="1:7" x14ac:dyDescent="0.25">
      <c r="A1337" s="22"/>
      <c r="B1337" s="5"/>
      <c r="C1337" s="5"/>
      <c r="D1337" s="23"/>
      <c r="E1337" s="5"/>
      <c r="F1337" s="5"/>
      <c r="G1337" s="31">
        <f>IF($B1337="","",IFERROR(INDEX(Settings!$B$41:$B$55,MATCH($B1337,Settings!$A$41:$A$55,0)),"Check category"))</f>
      </c>
    </row>
    <row r="1338" spans="1:7" x14ac:dyDescent="0.25">
      <c r="A1338" s="22"/>
      <c r="B1338" s="5"/>
      <c r="C1338" s="5"/>
      <c r="D1338" s="23"/>
      <c r="E1338" s="5"/>
      <c r="F1338" s="5"/>
      <c r="G1338" s="31">
        <f>IF($B1338="","",IFERROR(INDEX(Settings!$B$41:$B$55,MATCH($B1338,Settings!$A$41:$A$55,0)),"Check category"))</f>
      </c>
    </row>
    <row r="1339" spans="1:7" x14ac:dyDescent="0.25">
      <c r="A1339" s="22"/>
      <c r="B1339" s="5"/>
      <c r="C1339" s="5"/>
      <c r="D1339" s="23"/>
      <c r="E1339" s="5"/>
      <c r="F1339" s="5"/>
      <c r="G1339" s="31">
        <f>IF($B1339="","",IFERROR(INDEX(Settings!$B$41:$B$55,MATCH($B1339,Settings!$A$41:$A$55,0)),"Check category"))</f>
      </c>
    </row>
    <row r="1340" spans="1:7" x14ac:dyDescent="0.25">
      <c r="A1340" s="22"/>
      <c r="B1340" s="5"/>
      <c r="C1340" s="5"/>
      <c r="D1340" s="23"/>
      <c r="E1340" s="5"/>
      <c r="F1340" s="5"/>
      <c r="G1340" s="31">
        <f>IF($B1340="","",IFERROR(INDEX(Settings!$B$41:$B$55,MATCH($B1340,Settings!$A$41:$A$55,0)),"Check category"))</f>
      </c>
    </row>
    <row r="1341" spans="1:7" x14ac:dyDescent="0.25">
      <c r="A1341" s="22"/>
      <c r="B1341" s="5"/>
      <c r="C1341" s="5"/>
      <c r="D1341" s="23"/>
      <c r="E1341" s="5"/>
      <c r="F1341" s="5"/>
      <c r="G1341" s="31">
        <f>IF($B1341="","",IFERROR(INDEX(Settings!$B$41:$B$55,MATCH($B1341,Settings!$A$41:$A$55,0)),"Check category"))</f>
      </c>
    </row>
    <row r="1342" spans="1:7" x14ac:dyDescent="0.25">
      <c r="A1342" s="22"/>
      <c r="B1342" s="5"/>
      <c r="C1342" s="5"/>
      <c r="D1342" s="23"/>
      <c r="E1342" s="5"/>
      <c r="F1342" s="5"/>
      <c r="G1342" s="31">
        <f>IF($B1342="","",IFERROR(INDEX(Settings!$B$41:$B$55,MATCH($B1342,Settings!$A$41:$A$55,0)),"Check category"))</f>
      </c>
    </row>
    <row r="1343" spans="1:7" x14ac:dyDescent="0.25">
      <c r="A1343" s="22"/>
      <c r="B1343" s="5"/>
      <c r="C1343" s="5"/>
      <c r="D1343" s="23"/>
      <c r="E1343" s="5"/>
      <c r="F1343" s="5"/>
      <c r="G1343" s="31">
        <f>IF($B1343="","",IFERROR(INDEX(Settings!$B$41:$B$55,MATCH($B1343,Settings!$A$41:$A$55,0)),"Check category"))</f>
      </c>
    </row>
    <row r="1344" spans="1:7" x14ac:dyDescent="0.25">
      <c r="A1344" s="22"/>
      <c r="B1344" s="5"/>
      <c r="C1344" s="5"/>
      <c r="D1344" s="23"/>
      <c r="E1344" s="5"/>
      <c r="F1344" s="5"/>
      <c r="G1344" s="31">
        <f>IF($B1344="","",IFERROR(INDEX(Settings!$B$41:$B$55,MATCH($B1344,Settings!$A$41:$A$55,0)),"Check category"))</f>
      </c>
    </row>
    <row r="1345" spans="1:7" x14ac:dyDescent="0.25">
      <c r="A1345" s="22"/>
      <c r="B1345" s="5"/>
      <c r="C1345" s="5"/>
      <c r="D1345" s="23"/>
      <c r="E1345" s="5"/>
      <c r="F1345" s="5"/>
      <c r="G1345" s="31">
        <f>IF($B1345="","",IFERROR(INDEX(Settings!$B$41:$B$55,MATCH($B1345,Settings!$A$41:$A$55,0)),"Check category"))</f>
      </c>
    </row>
    <row r="1346" spans="1:7" x14ac:dyDescent="0.25">
      <c r="A1346" s="22"/>
      <c r="B1346" s="5"/>
      <c r="C1346" s="5"/>
      <c r="D1346" s="23"/>
      <c r="E1346" s="5"/>
      <c r="F1346" s="5"/>
      <c r="G1346" s="31">
        <f>IF($B1346="","",IFERROR(INDEX(Settings!$B$41:$B$55,MATCH($B1346,Settings!$A$41:$A$55,0)),"Check category"))</f>
      </c>
    </row>
    <row r="1347" spans="1:7" x14ac:dyDescent="0.25">
      <c r="A1347" s="22"/>
      <c r="B1347" s="5"/>
      <c r="C1347" s="5"/>
      <c r="D1347" s="23"/>
      <c r="E1347" s="5"/>
      <c r="F1347" s="5"/>
      <c r="G1347" s="31">
        <f>IF($B1347="","",IFERROR(INDEX(Settings!$B$41:$B$55,MATCH($B1347,Settings!$A$41:$A$55,0)),"Check category"))</f>
      </c>
    </row>
    <row r="1348" spans="1:7" x14ac:dyDescent="0.25">
      <c r="A1348" s="22"/>
      <c r="B1348" s="5"/>
      <c r="C1348" s="5"/>
      <c r="D1348" s="23"/>
      <c r="E1348" s="5"/>
      <c r="F1348" s="5"/>
      <c r="G1348" s="31">
        <f>IF($B1348="","",IFERROR(INDEX(Settings!$B$41:$B$55,MATCH($B1348,Settings!$A$41:$A$55,0)),"Check category"))</f>
      </c>
    </row>
    <row r="1349" spans="1:7" x14ac:dyDescent="0.25">
      <c r="A1349" s="22"/>
      <c r="B1349" s="5"/>
      <c r="C1349" s="5"/>
      <c r="D1349" s="23"/>
      <c r="E1349" s="5"/>
      <c r="F1349" s="5"/>
      <c r="G1349" s="31">
        <f>IF($B1349="","",IFERROR(INDEX(Settings!$B$41:$B$55,MATCH($B1349,Settings!$A$41:$A$55,0)),"Check category"))</f>
      </c>
    </row>
    <row r="1350" spans="1:7" x14ac:dyDescent="0.25">
      <c r="A1350" s="22"/>
      <c r="B1350" s="5"/>
      <c r="C1350" s="5"/>
      <c r="D1350" s="23"/>
      <c r="E1350" s="5"/>
      <c r="F1350" s="5"/>
      <c r="G1350" s="31">
        <f>IF($B1350="","",IFERROR(INDEX(Settings!$B$41:$B$55,MATCH($B1350,Settings!$A$41:$A$55,0)),"Check category"))</f>
      </c>
    </row>
    <row r="1351" spans="1:7" x14ac:dyDescent="0.25">
      <c r="A1351" s="22"/>
      <c r="B1351" s="5"/>
      <c r="C1351" s="5"/>
      <c r="D1351" s="23"/>
      <c r="E1351" s="5"/>
      <c r="F1351" s="5"/>
      <c r="G1351" s="31">
        <f>IF($B1351="","",IFERROR(INDEX(Settings!$B$41:$B$55,MATCH($B1351,Settings!$A$41:$A$55,0)),"Check category"))</f>
      </c>
    </row>
    <row r="1352" spans="1:7" x14ac:dyDescent="0.25">
      <c r="A1352" s="22"/>
      <c r="B1352" s="5"/>
      <c r="C1352" s="5"/>
      <c r="D1352" s="23"/>
      <c r="E1352" s="5"/>
      <c r="F1352" s="5"/>
      <c r="G1352" s="31">
        <f>IF($B1352="","",IFERROR(INDEX(Settings!$B$41:$B$55,MATCH($B1352,Settings!$A$41:$A$55,0)),"Check category"))</f>
      </c>
    </row>
    <row r="1353" spans="1:7" x14ac:dyDescent="0.25">
      <c r="A1353" s="22"/>
      <c r="B1353" s="5"/>
      <c r="C1353" s="5"/>
      <c r="D1353" s="23"/>
      <c r="E1353" s="5"/>
      <c r="F1353" s="5"/>
      <c r="G1353" s="31">
        <f>IF($B1353="","",IFERROR(INDEX(Settings!$B$41:$B$55,MATCH($B1353,Settings!$A$41:$A$55,0)),"Check category"))</f>
      </c>
    </row>
    <row r="1354" spans="1:7" x14ac:dyDescent="0.25">
      <c r="A1354" s="22"/>
      <c r="B1354" s="5"/>
      <c r="C1354" s="5"/>
      <c r="D1354" s="23"/>
      <c r="E1354" s="5"/>
      <c r="F1354" s="5"/>
      <c r="G1354" s="31">
        <f>IF($B1354="","",IFERROR(INDEX(Settings!$B$41:$B$55,MATCH($B1354,Settings!$A$41:$A$55,0)),"Check category"))</f>
      </c>
    </row>
    <row r="1355" spans="1:7" x14ac:dyDescent="0.25">
      <c r="A1355" s="22"/>
      <c r="B1355" s="5"/>
      <c r="C1355" s="5"/>
      <c r="D1355" s="23"/>
      <c r="E1355" s="5"/>
      <c r="F1355" s="5"/>
      <c r="G1355" s="31">
        <f>IF($B1355="","",IFERROR(INDEX(Settings!$B$41:$B$55,MATCH($B1355,Settings!$A$41:$A$55,0)),"Check category"))</f>
      </c>
    </row>
    <row r="1356" spans="1:7" x14ac:dyDescent="0.25">
      <c r="A1356" s="22"/>
      <c r="B1356" s="5"/>
      <c r="C1356" s="5"/>
      <c r="D1356" s="23"/>
      <c r="E1356" s="5"/>
      <c r="F1356" s="5"/>
      <c r="G1356" s="31">
        <f>IF($B1356="","",IFERROR(INDEX(Settings!$B$41:$B$55,MATCH($B1356,Settings!$A$41:$A$55,0)),"Check category"))</f>
      </c>
    </row>
    <row r="1357" spans="1:7" x14ac:dyDescent="0.25">
      <c r="A1357" s="22"/>
      <c r="B1357" s="5"/>
      <c r="C1357" s="5"/>
      <c r="D1357" s="23"/>
      <c r="E1357" s="5"/>
      <c r="F1357" s="5"/>
      <c r="G1357" s="31">
        <f>IF($B1357="","",IFERROR(INDEX(Settings!$B$41:$B$55,MATCH($B1357,Settings!$A$41:$A$55,0)),"Check category"))</f>
      </c>
    </row>
    <row r="1358" spans="1:7" x14ac:dyDescent="0.25">
      <c r="A1358" s="22"/>
      <c r="B1358" s="5"/>
      <c r="C1358" s="5"/>
      <c r="D1358" s="23"/>
      <c r="E1358" s="5"/>
      <c r="F1358" s="5"/>
      <c r="G1358" s="31">
        <f>IF($B1358="","",IFERROR(INDEX(Settings!$B$41:$B$55,MATCH($B1358,Settings!$A$41:$A$55,0)),"Check category"))</f>
      </c>
    </row>
    <row r="1359" spans="1:7" x14ac:dyDescent="0.25">
      <c r="A1359" s="22"/>
      <c r="B1359" s="5"/>
      <c r="C1359" s="5"/>
      <c r="D1359" s="23"/>
      <c r="E1359" s="5"/>
      <c r="F1359" s="5"/>
      <c r="G1359" s="31">
        <f>IF($B1359="","",IFERROR(INDEX(Settings!$B$41:$B$55,MATCH($B1359,Settings!$A$41:$A$55,0)),"Check category"))</f>
      </c>
    </row>
    <row r="1360" spans="1:7" x14ac:dyDescent="0.25">
      <c r="A1360" s="22"/>
      <c r="B1360" s="5"/>
      <c r="C1360" s="5"/>
      <c r="D1360" s="23"/>
      <c r="E1360" s="5"/>
      <c r="F1360" s="5"/>
      <c r="G1360" s="31">
        <f>IF($B1360="","",IFERROR(INDEX(Settings!$B$41:$B$55,MATCH($B1360,Settings!$A$41:$A$55,0)),"Check category"))</f>
      </c>
    </row>
    <row r="1361" spans="1:7" x14ac:dyDescent="0.25">
      <c r="A1361" s="22"/>
      <c r="B1361" s="5"/>
      <c r="C1361" s="5"/>
      <c r="D1361" s="23"/>
      <c r="E1361" s="5"/>
      <c r="F1361" s="5"/>
      <c r="G1361" s="31">
        <f>IF($B1361="","",IFERROR(INDEX(Settings!$B$41:$B$55,MATCH($B1361,Settings!$A$41:$A$55,0)),"Check category"))</f>
      </c>
    </row>
    <row r="1362" spans="1:7" x14ac:dyDescent="0.25">
      <c r="A1362" s="22"/>
      <c r="B1362" s="5"/>
      <c r="C1362" s="5"/>
      <c r="D1362" s="23"/>
      <c r="E1362" s="5"/>
      <c r="F1362" s="5"/>
      <c r="G1362" s="31">
        <f>IF($B1362="","",IFERROR(INDEX(Settings!$B$41:$B$55,MATCH($B1362,Settings!$A$41:$A$55,0)),"Check category"))</f>
      </c>
    </row>
    <row r="1363" spans="1:7" x14ac:dyDescent="0.25">
      <c r="A1363" s="22"/>
      <c r="B1363" s="5"/>
      <c r="C1363" s="5"/>
      <c r="D1363" s="23"/>
      <c r="E1363" s="5"/>
      <c r="F1363" s="5"/>
      <c r="G1363" s="31">
        <f>IF($B1363="","",IFERROR(INDEX(Settings!$B$41:$B$55,MATCH($B1363,Settings!$A$41:$A$55,0)),"Check category"))</f>
      </c>
    </row>
    <row r="1364" spans="1:7" x14ac:dyDescent="0.25">
      <c r="A1364" s="22"/>
      <c r="B1364" s="5"/>
      <c r="C1364" s="5"/>
      <c r="D1364" s="23"/>
      <c r="E1364" s="5"/>
      <c r="F1364" s="5"/>
      <c r="G1364" s="31">
        <f>IF($B1364="","",IFERROR(INDEX(Settings!$B$41:$B$55,MATCH($B1364,Settings!$A$41:$A$55,0)),"Check category"))</f>
      </c>
    </row>
    <row r="1365" spans="1:7" x14ac:dyDescent="0.25">
      <c r="A1365" s="22"/>
      <c r="B1365" s="5"/>
      <c r="C1365" s="5"/>
      <c r="D1365" s="23"/>
      <c r="E1365" s="5"/>
      <c r="F1365" s="5"/>
      <c r="G1365" s="31">
        <f>IF($B1365="","",IFERROR(INDEX(Settings!$B$41:$B$55,MATCH($B1365,Settings!$A$41:$A$55,0)),"Check category"))</f>
      </c>
    </row>
    <row r="1366" spans="1:7" x14ac:dyDescent="0.25">
      <c r="A1366" s="22"/>
      <c r="B1366" s="5"/>
      <c r="C1366" s="5"/>
      <c r="D1366" s="23"/>
      <c r="E1366" s="5"/>
      <c r="F1366" s="5"/>
      <c r="G1366" s="31">
        <f>IF($B1366="","",IFERROR(INDEX(Settings!$B$41:$B$55,MATCH($B1366,Settings!$A$41:$A$55,0)),"Check category"))</f>
      </c>
    </row>
    <row r="1367" spans="1:7" x14ac:dyDescent="0.25">
      <c r="A1367" s="22"/>
      <c r="B1367" s="5"/>
      <c r="C1367" s="5"/>
      <c r="D1367" s="23"/>
      <c r="E1367" s="5"/>
      <c r="F1367" s="5"/>
      <c r="G1367" s="31">
        <f>IF($B1367="","",IFERROR(INDEX(Settings!$B$41:$B$55,MATCH($B1367,Settings!$A$41:$A$55,0)),"Check category"))</f>
      </c>
    </row>
    <row r="1368" spans="1:7" x14ac:dyDescent="0.25">
      <c r="A1368" s="22"/>
      <c r="B1368" s="5"/>
      <c r="C1368" s="5"/>
      <c r="D1368" s="23"/>
      <c r="E1368" s="5"/>
      <c r="F1368" s="5"/>
      <c r="G1368" s="31">
        <f>IF($B1368="","",IFERROR(INDEX(Settings!$B$41:$B$55,MATCH($B1368,Settings!$A$41:$A$55,0)),"Check category"))</f>
      </c>
    </row>
    <row r="1369" spans="1:7" x14ac:dyDescent="0.25">
      <c r="A1369" s="22"/>
      <c r="B1369" s="5"/>
      <c r="C1369" s="5"/>
      <c r="D1369" s="23"/>
      <c r="E1369" s="5"/>
      <c r="F1369" s="5"/>
      <c r="G1369" s="31">
        <f>IF($B1369="","",IFERROR(INDEX(Settings!$B$41:$B$55,MATCH($B1369,Settings!$A$41:$A$55,0)),"Check category"))</f>
      </c>
    </row>
    <row r="1370" spans="1:7" x14ac:dyDescent="0.25">
      <c r="A1370" s="22"/>
      <c r="B1370" s="5"/>
      <c r="C1370" s="5"/>
      <c r="D1370" s="23"/>
      <c r="E1370" s="5"/>
      <c r="F1370" s="5"/>
      <c r="G1370" s="31">
        <f>IF($B1370="","",IFERROR(INDEX(Settings!$B$41:$B$55,MATCH($B1370,Settings!$A$41:$A$55,0)),"Check category"))</f>
      </c>
    </row>
    <row r="1371" spans="1:7" x14ac:dyDescent="0.25">
      <c r="A1371" s="22"/>
      <c r="B1371" s="5"/>
      <c r="C1371" s="5"/>
      <c r="D1371" s="23"/>
      <c r="E1371" s="5"/>
      <c r="F1371" s="5"/>
      <c r="G1371" s="31">
        <f>IF($B1371="","",IFERROR(INDEX(Settings!$B$41:$B$55,MATCH($B1371,Settings!$A$41:$A$55,0)),"Check category"))</f>
      </c>
    </row>
    <row r="1372" spans="1:7" x14ac:dyDescent="0.25">
      <c r="A1372" s="22"/>
      <c r="B1372" s="5"/>
      <c r="C1372" s="5"/>
      <c r="D1372" s="23"/>
      <c r="E1372" s="5"/>
      <c r="F1372" s="5"/>
      <c r="G1372" s="31">
        <f>IF($B1372="","",IFERROR(INDEX(Settings!$B$41:$B$55,MATCH($B1372,Settings!$A$41:$A$55,0)),"Check category"))</f>
      </c>
    </row>
    <row r="1373" spans="1:7" x14ac:dyDescent="0.25">
      <c r="A1373" s="22"/>
      <c r="B1373" s="5"/>
      <c r="C1373" s="5"/>
      <c r="D1373" s="23"/>
      <c r="E1373" s="5"/>
      <c r="F1373" s="5"/>
      <c r="G1373" s="31">
        <f>IF($B1373="","",IFERROR(INDEX(Settings!$B$41:$B$55,MATCH($B1373,Settings!$A$41:$A$55,0)),"Check category"))</f>
      </c>
    </row>
    <row r="1374" spans="1:7" x14ac:dyDescent="0.25">
      <c r="A1374" s="22"/>
      <c r="B1374" s="5"/>
      <c r="C1374" s="5"/>
      <c r="D1374" s="23"/>
      <c r="E1374" s="5"/>
      <c r="F1374" s="5"/>
      <c r="G1374" s="31">
        <f>IF($B1374="","",IFERROR(INDEX(Settings!$B$41:$B$55,MATCH($B1374,Settings!$A$41:$A$55,0)),"Check category"))</f>
      </c>
    </row>
    <row r="1375" spans="1:7" x14ac:dyDescent="0.25">
      <c r="A1375" s="22"/>
      <c r="B1375" s="5"/>
      <c r="C1375" s="5"/>
      <c r="D1375" s="23"/>
      <c r="E1375" s="5"/>
      <c r="F1375" s="5"/>
      <c r="G1375" s="31">
        <f>IF($B1375="","",IFERROR(INDEX(Settings!$B$41:$B$55,MATCH($B1375,Settings!$A$41:$A$55,0)),"Check category"))</f>
      </c>
    </row>
    <row r="1376" spans="1:7" x14ac:dyDescent="0.25">
      <c r="A1376" s="22"/>
      <c r="B1376" s="5"/>
      <c r="C1376" s="5"/>
      <c r="D1376" s="23"/>
      <c r="E1376" s="5"/>
      <c r="F1376" s="5"/>
      <c r="G1376" s="31">
        <f>IF($B1376="","",IFERROR(INDEX(Settings!$B$41:$B$55,MATCH($B1376,Settings!$A$41:$A$55,0)),"Check category"))</f>
      </c>
    </row>
    <row r="1377" spans="1:7" x14ac:dyDescent="0.25">
      <c r="A1377" s="22"/>
      <c r="B1377" s="5"/>
      <c r="C1377" s="5"/>
      <c r="D1377" s="23"/>
      <c r="E1377" s="5"/>
      <c r="F1377" s="5"/>
      <c r="G1377" s="31">
        <f>IF($B1377="","",IFERROR(INDEX(Settings!$B$41:$B$55,MATCH($B1377,Settings!$A$41:$A$55,0)),"Check category"))</f>
      </c>
    </row>
    <row r="1378" spans="1:7" x14ac:dyDescent="0.25">
      <c r="A1378" s="22"/>
      <c r="B1378" s="5"/>
      <c r="C1378" s="5"/>
      <c r="D1378" s="23"/>
      <c r="E1378" s="5"/>
      <c r="F1378" s="5"/>
      <c r="G1378" s="31">
        <f>IF($B1378="","",IFERROR(INDEX(Settings!$B$41:$B$55,MATCH($B1378,Settings!$A$41:$A$55,0)),"Check category"))</f>
      </c>
    </row>
    <row r="1379" spans="1:7" x14ac:dyDescent="0.25">
      <c r="A1379" s="22"/>
      <c r="B1379" s="5"/>
      <c r="C1379" s="5"/>
      <c r="D1379" s="23"/>
      <c r="E1379" s="5"/>
      <c r="F1379" s="5"/>
      <c r="G1379" s="31">
        <f>IF($B1379="","",IFERROR(INDEX(Settings!$B$41:$B$55,MATCH($B1379,Settings!$A$41:$A$55,0)),"Check category"))</f>
      </c>
    </row>
    <row r="1380" spans="1:7" x14ac:dyDescent="0.25">
      <c r="A1380" s="22"/>
      <c r="B1380" s="5"/>
      <c r="C1380" s="5"/>
      <c r="D1380" s="23"/>
      <c r="E1380" s="5"/>
      <c r="F1380" s="5"/>
      <c r="G1380" s="31">
        <f>IF($B1380="","",IFERROR(INDEX(Settings!$B$41:$B$55,MATCH($B1380,Settings!$A$41:$A$55,0)),"Check category"))</f>
      </c>
    </row>
    <row r="1381" spans="1:7" x14ac:dyDescent="0.25">
      <c r="A1381" s="22"/>
      <c r="B1381" s="5"/>
      <c r="C1381" s="5"/>
      <c r="D1381" s="23"/>
      <c r="E1381" s="5"/>
      <c r="F1381" s="5"/>
      <c r="G1381" s="31">
        <f>IF($B1381="","",IFERROR(INDEX(Settings!$B$41:$B$55,MATCH($B1381,Settings!$A$41:$A$55,0)),"Check category"))</f>
      </c>
    </row>
    <row r="1382" spans="1:7" x14ac:dyDescent="0.25">
      <c r="A1382" s="22"/>
      <c r="B1382" s="5"/>
      <c r="C1382" s="5"/>
      <c r="D1382" s="23"/>
      <c r="E1382" s="5"/>
      <c r="F1382" s="5"/>
      <c r="G1382" s="31">
        <f>IF($B1382="","",IFERROR(INDEX(Settings!$B$41:$B$55,MATCH($B1382,Settings!$A$41:$A$55,0)),"Check category"))</f>
      </c>
    </row>
    <row r="1383" spans="1:7" x14ac:dyDescent="0.25">
      <c r="A1383" s="22"/>
      <c r="B1383" s="5"/>
      <c r="C1383" s="5"/>
      <c r="D1383" s="23"/>
      <c r="E1383" s="5"/>
      <c r="F1383" s="5"/>
      <c r="G1383" s="31">
        <f>IF($B1383="","",IFERROR(INDEX(Settings!$B$41:$B$55,MATCH($B1383,Settings!$A$41:$A$55,0)),"Check category"))</f>
      </c>
    </row>
    <row r="1384" spans="1:7" x14ac:dyDescent="0.25">
      <c r="A1384" s="22"/>
      <c r="B1384" s="5"/>
      <c r="C1384" s="5"/>
      <c r="D1384" s="23"/>
      <c r="E1384" s="5"/>
      <c r="F1384" s="5"/>
      <c r="G1384" s="31">
        <f>IF($B1384="","",IFERROR(INDEX(Settings!$B$41:$B$55,MATCH($B1384,Settings!$A$41:$A$55,0)),"Check category"))</f>
      </c>
    </row>
    <row r="1385" spans="1:7" x14ac:dyDescent="0.25">
      <c r="A1385" s="22"/>
      <c r="B1385" s="5"/>
      <c r="C1385" s="5"/>
      <c r="D1385" s="23"/>
      <c r="E1385" s="5"/>
      <c r="F1385" s="5"/>
      <c r="G1385" s="31">
        <f>IF($B1385="","",IFERROR(INDEX(Settings!$B$41:$B$55,MATCH($B1385,Settings!$A$41:$A$55,0)),"Check category"))</f>
      </c>
    </row>
    <row r="1386" spans="1:7" x14ac:dyDescent="0.25">
      <c r="A1386" s="22"/>
      <c r="B1386" s="5"/>
      <c r="C1386" s="5"/>
      <c r="D1386" s="23"/>
      <c r="E1386" s="5"/>
      <c r="F1386" s="5"/>
      <c r="G1386" s="31">
        <f>IF($B1386="","",IFERROR(INDEX(Settings!$B$41:$B$55,MATCH($B1386,Settings!$A$41:$A$55,0)),"Check category"))</f>
      </c>
    </row>
    <row r="1387" spans="1:7" x14ac:dyDescent="0.25">
      <c r="A1387" s="22"/>
      <c r="B1387" s="5"/>
      <c r="C1387" s="5"/>
      <c r="D1387" s="23"/>
      <c r="E1387" s="5"/>
      <c r="F1387" s="5"/>
      <c r="G1387" s="31">
        <f>IF($B1387="","",IFERROR(INDEX(Settings!$B$41:$B$55,MATCH($B1387,Settings!$A$41:$A$55,0)),"Check category"))</f>
      </c>
    </row>
    <row r="1388" spans="1:7" x14ac:dyDescent="0.25">
      <c r="A1388" s="22"/>
      <c r="B1388" s="5"/>
      <c r="C1388" s="5"/>
      <c r="D1388" s="23"/>
      <c r="E1388" s="5"/>
      <c r="F1388" s="5"/>
      <c r="G1388" s="31">
        <f>IF($B1388="","",IFERROR(INDEX(Settings!$B$41:$B$55,MATCH($B1388,Settings!$A$41:$A$55,0)),"Check category"))</f>
      </c>
    </row>
    <row r="1389" spans="1:7" x14ac:dyDescent="0.25">
      <c r="A1389" s="22"/>
      <c r="B1389" s="5"/>
      <c r="C1389" s="5"/>
      <c r="D1389" s="23"/>
      <c r="E1389" s="5"/>
      <c r="F1389" s="5"/>
      <c r="G1389" s="31">
        <f>IF($B1389="","",IFERROR(INDEX(Settings!$B$41:$B$55,MATCH($B1389,Settings!$A$41:$A$55,0)),"Check category"))</f>
      </c>
    </row>
    <row r="1390" spans="1:7" x14ac:dyDescent="0.25">
      <c r="A1390" s="22"/>
      <c r="B1390" s="5"/>
      <c r="C1390" s="5"/>
      <c r="D1390" s="23"/>
      <c r="E1390" s="5"/>
      <c r="F1390" s="5"/>
      <c r="G1390" s="31">
        <f>IF($B1390="","",IFERROR(INDEX(Settings!$B$41:$B$55,MATCH($B1390,Settings!$A$41:$A$55,0)),"Check category"))</f>
      </c>
    </row>
    <row r="1391" spans="1:7" x14ac:dyDescent="0.25">
      <c r="A1391" s="22"/>
      <c r="B1391" s="5"/>
      <c r="C1391" s="5"/>
      <c r="D1391" s="23"/>
      <c r="E1391" s="5"/>
      <c r="F1391" s="5"/>
      <c r="G1391" s="31">
        <f>IF($B1391="","",IFERROR(INDEX(Settings!$B$41:$B$55,MATCH($B1391,Settings!$A$41:$A$55,0)),"Check category"))</f>
      </c>
    </row>
    <row r="1392" spans="1:7" x14ac:dyDescent="0.25">
      <c r="A1392" s="22"/>
      <c r="B1392" s="5"/>
      <c r="C1392" s="5"/>
      <c r="D1392" s="23"/>
      <c r="E1392" s="5"/>
      <c r="F1392" s="5"/>
      <c r="G1392" s="31">
        <f>IF($B1392="","",IFERROR(INDEX(Settings!$B$41:$B$55,MATCH($B1392,Settings!$A$41:$A$55,0)),"Check category"))</f>
      </c>
    </row>
    <row r="1393" spans="1:7" x14ac:dyDescent="0.25">
      <c r="A1393" s="22"/>
      <c r="B1393" s="5"/>
      <c r="C1393" s="5"/>
      <c r="D1393" s="23"/>
      <c r="E1393" s="5"/>
      <c r="F1393" s="5"/>
      <c r="G1393" s="31">
        <f>IF($B1393="","",IFERROR(INDEX(Settings!$B$41:$B$55,MATCH($B1393,Settings!$A$41:$A$55,0)),"Check category"))</f>
      </c>
    </row>
    <row r="1394" spans="1:7" x14ac:dyDescent="0.25">
      <c r="A1394" s="22"/>
      <c r="B1394" s="5"/>
      <c r="C1394" s="5"/>
      <c r="D1394" s="23"/>
      <c r="E1394" s="5"/>
      <c r="F1394" s="5"/>
      <c r="G1394" s="31">
        <f>IF($B1394="","",IFERROR(INDEX(Settings!$B$41:$B$55,MATCH($B1394,Settings!$A$41:$A$55,0)),"Check category"))</f>
      </c>
    </row>
    <row r="1395" spans="1:7" x14ac:dyDescent="0.25">
      <c r="A1395" s="22"/>
      <c r="B1395" s="5"/>
      <c r="C1395" s="5"/>
      <c r="D1395" s="23"/>
      <c r="E1395" s="5"/>
      <c r="F1395" s="5"/>
      <c r="G1395" s="31">
        <f>IF($B1395="","",IFERROR(INDEX(Settings!$B$41:$B$55,MATCH($B1395,Settings!$A$41:$A$55,0)),"Check category"))</f>
      </c>
    </row>
    <row r="1396" spans="1:7" x14ac:dyDescent="0.25">
      <c r="A1396" s="22"/>
      <c r="B1396" s="5"/>
      <c r="C1396" s="5"/>
      <c r="D1396" s="23"/>
      <c r="E1396" s="5"/>
      <c r="F1396" s="5"/>
      <c r="G1396" s="31">
        <f>IF($B1396="","",IFERROR(INDEX(Settings!$B$41:$B$55,MATCH($B1396,Settings!$A$41:$A$55,0)),"Check category"))</f>
      </c>
    </row>
    <row r="1397" spans="1:7" x14ac:dyDescent="0.25">
      <c r="A1397" s="22"/>
      <c r="B1397" s="5"/>
      <c r="C1397" s="5"/>
      <c r="D1397" s="23"/>
      <c r="E1397" s="5"/>
      <c r="F1397" s="5"/>
      <c r="G1397" s="31">
        <f>IF($B1397="","",IFERROR(INDEX(Settings!$B$41:$B$55,MATCH($B1397,Settings!$A$41:$A$55,0)),"Check category"))</f>
      </c>
    </row>
    <row r="1398" spans="1:7" x14ac:dyDescent="0.25">
      <c r="A1398" s="22"/>
      <c r="B1398" s="5"/>
      <c r="C1398" s="5"/>
      <c r="D1398" s="23"/>
      <c r="E1398" s="5"/>
      <c r="F1398" s="5"/>
      <c r="G1398" s="31">
        <f>IF($B1398="","",IFERROR(INDEX(Settings!$B$41:$B$55,MATCH($B1398,Settings!$A$41:$A$55,0)),"Check category"))</f>
      </c>
    </row>
    <row r="1399" spans="1:7" x14ac:dyDescent="0.25">
      <c r="A1399" s="22"/>
      <c r="B1399" s="5"/>
      <c r="C1399" s="5"/>
      <c r="D1399" s="23"/>
      <c r="E1399" s="5"/>
      <c r="F1399" s="5"/>
      <c r="G1399" s="31">
        <f>IF($B1399="","",IFERROR(INDEX(Settings!$B$41:$B$55,MATCH($B1399,Settings!$A$41:$A$55,0)),"Check category"))</f>
      </c>
    </row>
    <row r="1400" spans="1:7" x14ac:dyDescent="0.25">
      <c r="A1400" s="22"/>
      <c r="B1400" s="5"/>
      <c r="C1400" s="5"/>
      <c r="D1400" s="23"/>
      <c r="E1400" s="5"/>
      <c r="F1400" s="5"/>
      <c r="G1400" s="31">
        <f>IF($B1400="","",IFERROR(INDEX(Settings!$B$41:$B$55,MATCH($B1400,Settings!$A$41:$A$55,0)),"Check category"))</f>
      </c>
    </row>
    <row r="1401" spans="1:7" x14ac:dyDescent="0.25">
      <c r="A1401" s="22"/>
      <c r="B1401" s="5"/>
      <c r="C1401" s="5"/>
      <c r="D1401" s="23"/>
      <c r="E1401" s="5"/>
      <c r="F1401" s="5"/>
      <c r="G1401" s="31">
        <f>IF($B1401="","",IFERROR(INDEX(Settings!$B$41:$B$55,MATCH($B1401,Settings!$A$41:$A$55,0)),"Check category"))</f>
      </c>
    </row>
    <row r="1402" spans="1:7" x14ac:dyDescent="0.25">
      <c r="A1402" s="22"/>
      <c r="B1402" s="5"/>
      <c r="C1402" s="5"/>
      <c r="D1402" s="23"/>
      <c r="E1402" s="5"/>
      <c r="F1402" s="5"/>
      <c r="G1402" s="31">
        <f>IF($B1402="","",IFERROR(INDEX(Settings!$B$41:$B$55,MATCH($B1402,Settings!$A$41:$A$55,0)),"Check category"))</f>
      </c>
    </row>
    <row r="1403" spans="1:7" x14ac:dyDescent="0.25">
      <c r="A1403" s="22"/>
      <c r="B1403" s="5"/>
      <c r="C1403" s="5"/>
      <c r="D1403" s="23"/>
      <c r="E1403" s="5"/>
      <c r="F1403" s="5"/>
      <c r="G1403" s="31">
        <f>IF($B1403="","",IFERROR(INDEX(Settings!$B$41:$B$55,MATCH($B1403,Settings!$A$41:$A$55,0)),"Check category"))</f>
      </c>
    </row>
    <row r="1404" spans="1:7" x14ac:dyDescent="0.25">
      <c r="A1404" s="22"/>
      <c r="B1404" s="5"/>
      <c r="C1404" s="5"/>
      <c r="D1404" s="23"/>
      <c r="E1404" s="5"/>
      <c r="F1404" s="5"/>
      <c r="G1404" s="31">
        <f>IF($B1404="","",IFERROR(INDEX(Settings!$B$41:$B$55,MATCH($B1404,Settings!$A$41:$A$55,0)),"Check category"))</f>
      </c>
    </row>
    <row r="1405" spans="1:7" x14ac:dyDescent="0.25">
      <c r="A1405" s="22"/>
      <c r="B1405" s="5"/>
      <c r="C1405" s="5"/>
      <c r="D1405" s="23"/>
      <c r="E1405" s="5"/>
      <c r="F1405" s="5"/>
      <c r="G1405" s="31">
        <f>IF($B1405="","",IFERROR(INDEX(Settings!$B$41:$B$55,MATCH($B1405,Settings!$A$41:$A$55,0)),"Check category"))</f>
      </c>
    </row>
    <row r="1406" spans="1:7" x14ac:dyDescent="0.25">
      <c r="A1406" s="22"/>
      <c r="B1406" s="5"/>
      <c r="C1406" s="5"/>
      <c r="D1406" s="23"/>
      <c r="E1406" s="5"/>
      <c r="F1406" s="5"/>
      <c r="G1406" s="31">
        <f>IF($B1406="","",IFERROR(INDEX(Settings!$B$41:$B$55,MATCH($B1406,Settings!$A$41:$A$55,0)),"Check category"))</f>
      </c>
    </row>
    <row r="1407" spans="1:7" x14ac:dyDescent="0.25">
      <c r="A1407" s="22"/>
      <c r="B1407" s="5"/>
      <c r="C1407" s="5"/>
      <c r="D1407" s="23"/>
      <c r="E1407" s="5"/>
      <c r="F1407" s="5"/>
      <c r="G1407" s="31">
        <f>IF($B1407="","",IFERROR(INDEX(Settings!$B$41:$B$55,MATCH($B1407,Settings!$A$41:$A$55,0)),"Check category"))</f>
      </c>
    </row>
    <row r="1408" spans="1:7" x14ac:dyDescent="0.25">
      <c r="A1408" s="22"/>
      <c r="B1408" s="5"/>
      <c r="C1408" s="5"/>
      <c r="D1408" s="23"/>
      <c r="E1408" s="5"/>
      <c r="F1408" s="5"/>
      <c r="G1408" s="31">
        <f>IF($B1408="","",IFERROR(INDEX(Settings!$B$41:$B$55,MATCH($B1408,Settings!$A$41:$A$55,0)),"Check category"))</f>
      </c>
    </row>
    <row r="1409" spans="1:7" x14ac:dyDescent="0.25">
      <c r="A1409" s="22"/>
      <c r="B1409" s="5"/>
      <c r="C1409" s="5"/>
      <c r="D1409" s="23"/>
      <c r="E1409" s="5"/>
      <c r="F1409" s="5"/>
      <c r="G1409" s="31">
        <f>IF($B1409="","",IFERROR(INDEX(Settings!$B$41:$B$55,MATCH($B1409,Settings!$A$41:$A$55,0)),"Check category"))</f>
      </c>
    </row>
    <row r="1410" spans="1:7" x14ac:dyDescent="0.25">
      <c r="A1410" s="22"/>
      <c r="B1410" s="5"/>
      <c r="C1410" s="5"/>
      <c r="D1410" s="23"/>
      <c r="E1410" s="5"/>
      <c r="F1410" s="5"/>
      <c r="G1410" s="31">
        <f>IF($B1410="","",IFERROR(INDEX(Settings!$B$41:$B$55,MATCH($B1410,Settings!$A$41:$A$55,0)),"Check category"))</f>
      </c>
    </row>
    <row r="1411" spans="1:7" x14ac:dyDescent="0.25">
      <c r="A1411" s="22"/>
      <c r="B1411" s="5"/>
      <c r="C1411" s="5"/>
      <c r="D1411" s="23"/>
      <c r="E1411" s="5"/>
      <c r="F1411" s="5"/>
      <c r="G1411" s="31">
        <f>IF($B1411="","",IFERROR(INDEX(Settings!$B$41:$B$55,MATCH($B1411,Settings!$A$41:$A$55,0)),"Check category"))</f>
      </c>
    </row>
    <row r="1412" spans="1:7" x14ac:dyDescent="0.25">
      <c r="A1412" s="22"/>
      <c r="B1412" s="5"/>
      <c r="C1412" s="5"/>
      <c r="D1412" s="23"/>
      <c r="E1412" s="5"/>
      <c r="F1412" s="5"/>
      <c r="G1412" s="31">
        <f>IF($B1412="","",IFERROR(INDEX(Settings!$B$41:$B$55,MATCH($B1412,Settings!$A$41:$A$55,0)),"Check category"))</f>
      </c>
    </row>
    <row r="1413" spans="1:7" x14ac:dyDescent="0.25">
      <c r="A1413" s="22"/>
      <c r="B1413" s="5"/>
      <c r="C1413" s="5"/>
      <c r="D1413" s="23"/>
      <c r="E1413" s="5"/>
      <c r="F1413" s="5"/>
      <c r="G1413" s="31">
        <f>IF($B1413="","",IFERROR(INDEX(Settings!$B$41:$B$55,MATCH($B1413,Settings!$A$41:$A$55,0)),"Check category"))</f>
      </c>
    </row>
    <row r="1414" spans="1:7" x14ac:dyDescent="0.25">
      <c r="A1414" s="22"/>
      <c r="B1414" s="5"/>
      <c r="C1414" s="5"/>
      <c r="D1414" s="23"/>
      <c r="E1414" s="5"/>
      <c r="F1414" s="5"/>
      <c r="G1414" s="31">
        <f>IF($B1414="","",IFERROR(INDEX(Settings!$B$41:$B$55,MATCH($B1414,Settings!$A$41:$A$55,0)),"Check category"))</f>
      </c>
    </row>
    <row r="1415" spans="1:7" x14ac:dyDescent="0.25">
      <c r="A1415" s="22"/>
      <c r="B1415" s="5"/>
      <c r="C1415" s="5"/>
      <c r="D1415" s="23"/>
      <c r="E1415" s="5"/>
      <c r="F1415" s="5"/>
      <c r="G1415" s="31">
        <f>IF($B1415="","",IFERROR(INDEX(Settings!$B$41:$B$55,MATCH($B1415,Settings!$A$41:$A$55,0)),"Check category"))</f>
      </c>
    </row>
    <row r="1416" spans="1:7" x14ac:dyDescent="0.25">
      <c r="A1416" s="22"/>
      <c r="B1416" s="5"/>
      <c r="C1416" s="5"/>
      <c r="D1416" s="23"/>
      <c r="E1416" s="5"/>
      <c r="F1416" s="5"/>
      <c r="G1416" s="31">
        <f>IF($B1416="","",IFERROR(INDEX(Settings!$B$41:$B$55,MATCH($B1416,Settings!$A$41:$A$55,0)),"Check category"))</f>
      </c>
    </row>
    <row r="1417" spans="1:7" x14ac:dyDescent="0.25">
      <c r="A1417" s="22"/>
      <c r="B1417" s="5"/>
      <c r="C1417" s="5"/>
      <c r="D1417" s="23"/>
      <c r="E1417" s="5"/>
      <c r="F1417" s="5"/>
      <c r="G1417" s="31">
        <f>IF($B1417="","",IFERROR(INDEX(Settings!$B$41:$B$55,MATCH($B1417,Settings!$A$41:$A$55,0)),"Check category"))</f>
      </c>
    </row>
    <row r="1418" spans="1:7" x14ac:dyDescent="0.25">
      <c r="A1418" s="22"/>
      <c r="B1418" s="5"/>
      <c r="C1418" s="5"/>
      <c r="D1418" s="23"/>
      <c r="E1418" s="5"/>
      <c r="F1418" s="5"/>
      <c r="G1418" s="31">
        <f>IF($B1418="","",IFERROR(INDEX(Settings!$B$41:$B$55,MATCH($B1418,Settings!$A$41:$A$55,0)),"Check category"))</f>
      </c>
    </row>
    <row r="1419" spans="1:7" x14ac:dyDescent="0.25">
      <c r="A1419" s="22"/>
      <c r="B1419" s="5"/>
      <c r="C1419" s="5"/>
      <c r="D1419" s="23"/>
      <c r="E1419" s="5"/>
      <c r="F1419" s="5"/>
      <c r="G1419" s="31">
        <f>IF($B1419="","",IFERROR(INDEX(Settings!$B$41:$B$55,MATCH($B1419,Settings!$A$41:$A$55,0)),"Check category"))</f>
      </c>
    </row>
    <row r="1420" spans="1:7" x14ac:dyDescent="0.25">
      <c r="A1420" s="22"/>
      <c r="B1420" s="5"/>
      <c r="C1420" s="5"/>
      <c r="D1420" s="23"/>
      <c r="E1420" s="5"/>
      <c r="F1420" s="5"/>
      <c r="G1420" s="31">
        <f>IF($B1420="","",IFERROR(INDEX(Settings!$B$41:$B$55,MATCH($B1420,Settings!$A$41:$A$55,0)),"Check category"))</f>
      </c>
    </row>
    <row r="1421" spans="1:7" x14ac:dyDescent="0.25">
      <c r="A1421" s="22"/>
      <c r="B1421" s="5"/>
      <c r="C1421" s="5"/>
      <c r="D1421" s="23"/>
      <c r="E1421" s="5"/>
      <c r="F1421" s="5"/>
      <c r="G1421" s="31">
        <f>IF($B1421="","",IFERROR(INDEX(Settings!$B$41:$B$55,MATCH($B1421,Settings!$A$41:$A$55,0)),"Check category"))</f>
      </c>
    </row>
    <row r="1422" spans="1:7" x14ac:dyDescent="0.25">
      <c r="A1422" s="22"/>
      <c r="B1422" s="5"/>
      <c r="C1422" s="5"/>
      <c r="D1422" s="23"/>
      <c r="E1422" s="5"/>
      <c r="F1422" s="5"/>
      <c r="G1422" s="31">
        <f>IF($B1422="","",IFERROR(INDEX(Settings!$B$41:$B$55,MATCH($B1422,Settings!$A$41:$A$55,0)),"Check category"))</f>
      </c>
    </row>
    <row r="1423" spans="1:7" x14ac:dyDescent="0.25">
      <c r="A1423" s="22"/>
      <c r="B1423" s="5"/>
      <c r="C1423" s="5"/>
      <c r="D1423" s="23"/>
      <c r="E1423" s="5"/>
      <c r="F1423" s="5"/>
      <c r="G1423" s="31">
        <f>IF($B1423="","",IFERROR(INDEX(Settings!$B$41:$B$55,MATCH($B1423,Settings!$A$41:$A$55,0)),"Check category"))</f>
      </c>
    </row>
    <row r="1424" spans="1:7" x14ac:dyDescent="0.25">
      <c r="A1424" s="22"/>
      <c r="B1424" s="5"/>
      <c r="C1424" s="5"/>
      <c r="D1424" s="23"/>
      <c r="E1424" s="5"/>
      <c r="F1424" s="5"/>
      <c r="G1424" s="31">
        <f>IF($B1424="","",IFERROR(INDEX(Settings!$B$41:$B$55,MATCH($B1424,Settings!$A$41:$A$55,0)),"Check category"))</f>
      </c>
    </row>
    <row r="1425" spans="1:7" x14ac:dyDescent="0.25">
      <c r="A1425" s="22"/>
      <c r="B1425" s="5"/>
      <c r="C1425" s="5"/>
      <c r="D1425" s="23"/>
      <c r="E1425" s="5"/>
      <c r="F1425" s="5"/>
      <c r="G1425" s="31">
        <f>IF($B1425="","",IFERROR(INDEX(Settings!$B$41:$B$55,MATCH($B1425,Settings!$A$41:$A$55,0)),"Check category"))</f>
      </c>
    </row>
    <row r="1426" spans="1:7" x14ac:dyDescent="0.25">
      <c r="A1426" s="22"/>
      <c r="B1426" s="5"/>
      <c r="C1426" s="5"/>
      <c r="D1426" s="23"/>
      <c r="E1426" s="5"/>
      <c r="F1426" s="5"/>
      <c r="G1426" s="31">
        <f>IF($B1426="","",IFERROR(INDEX(Settings!$B$41:$B$55,MATCH($B1426,Settings!$A$41:$A$55,0)),"Check category"))</f>
      </c>
    </row>
    <row r="1427" spans="1:7" x14ac:dyDescent="0.25">
      <c r="A1427" s="22"/>
      <c r="B1427" s="5"/>
      <c r="C1427" s="5"/>
      <c r="D1427" s="23"/>
      <c r="E1427" s="5"/>
      <c r="F1427" s="5"/>
      <c r="G1427" s="31">
        <f>IF($B1427="","",IFERROR(INDEX(Settings!$B$41:$B$55,MATCH($B1427,Settings!$A$41:$A$55,0)),"Check category"))</f>
      </c>
    </row>
    <row r="1428" spans="1:7" x14ac:dyDescent="0.25">
      <c r="A1428" s="22"/>
      <c r="B1428" s="5"/>
      <c r="C1428" s="5"/>
      <c r="D1428" s="23"/>
      <c r="E1428" s="5"/>
      <c r="F1428" s="5"/>
      <c r="G1428" s="31">
        <f>IF($B1428="","",IFERROR(INDEX(Settings!$B$41:$B$55,MATCH($B1428,Settings!$A$41:$A$55,0)),"Check category"))</f>
      </c>
    </row>
    <row r="1429" spans="1:7" x14ac:dyDescent="0.25">
      <c r="A1429" s="22"/>
      <c r="B1429" s="5"/>
      <c r="C1429" s="5"/>
      <c r="D1429" s="23"/>
      <c r="E1429" s="5"/>
      <c r="F1429" s="5"/>
      <c r="G1429" s="31">
        <f>IF($B1429="","",IFERROR(INDEX(Settings!$B$41:$B$55,MATCH($B1429,Settings!$A$41:$A$55,0)),"Check category"))</f>
      </c>
    </row>
    <row r="1430" spans="1:7" x14ac:dyDescent="0.25">
      <c r="A1430" s="22"/>
      <c r="B1430" s="5"/>
      <c r="C1430" s="5"/>
      <c r="D1430" s="23"/>
      <c r="E1430" s="5"/>
      <c r="F1430" s="5"/>
      <c r="G1430" s="31">
        <f>IF($B1430="","",IFERROR(INDEX(Settings!$B$41:$B$55,MATCH($B1430,Settings!$A$41:$A$55,0)),"Check category"))</f>
      </c>
    </row>
    <row r="1431" spans="1:7" x14ac:dyDescent="0.25">
      <c r="A1431" s="22"/>
      <c r="B1431" s="5"/>
      <c r="C1431" s="5"/>
      <c r="D1431" s="23"/>
      <c r="E1431" s="5"/>
      <c r="F1431" s="5"/>
      <c r="G1431" s="31">
        <f>IF($B1431="","",IFERROR(INDEX(Settings!$B$41:$B$55,MATCH($B1431,Settings!$A$41:$A$55,0)),"Check category"))</f>
      </c>
    </row>
    <row r="1432" spans="1:7" x14ac:dyDescent="0.25">
      <c r="A1432" s="22"/>
      <c r="B1432" s="5"/>
      <c r="C1432" s="5"/>
      <c r="D1432" s="23"/>
      <c r="E1432" s="5"/>
      <c r="F1432" s="5"/>
      <c r="G1432" s="31">
        <f>IF($B1432="","",IFERROR(INDEX(Settings!$B$41:$B$55,MATCH($B1432,Settings!$A$41:$A$55,0)),"Check category"))</f>
      </c>
    </row>
    <row r="1433" spans="1:7" x14ac:dyDescent="0.25">
      <c r="A1433" s="22"/>
      <c r="B1433" s="5"/>
      <c r="C1433" s="5"/>
      <c r="D1433" s="23"/>
      <c r="E1433" s="5"/>
      <c r="F1433" s="5"/>
      <c r="G1433" s="31">
        <f>IF($B1433="","",IFERROR(INDEX(Settings!$B$41:$B$55,MATCH($B1433,Settings!$A$41:$A$55,0)),"Check category"))</f>
      </c>
    </row>
    <row r="1434" spans="1:7" x14ac:dyDescent="0.25">
      <c r="A1434" s="22"/>
      <c r="B1434" s="5"/>
      <c r="C1434" s="5"/>
      <c r="D1434" s="23"/>
      <c r="E1434" s="5"/>
      <c r="F1434" s="5"/>
      <c r="G1434" s="31">
        <f>IF($B1434="","",IFERROR(INDEX(Settings!$B$41:$B$55,MATCH($B1434,Settings!$A$41:$A$55,0)),"Check category"))</f>
      </c>
    </row>
    <row r="1435" spans="1:7" x14ac:dyDescent="0.25">
      <c r="A1435" s="22"/>
      <c r="B1435" s="5"/>
      <c r="C1435" s="5"/>
      <c r="D1435" s="23"/>
      <c r="E1435" s="5"/>
      <c r="F1435" s="5"/>
      <c r="G1435" s="31">
        <f>IF($B1435="","",IFERROR(INDEX(Settings!$B$41:$B$55,MATCH($B1435,Settings!$A$41:$A$55,0)),"Check category"))</f>
      </c>
    </row>
    <row r="1436" spans="1:7" x14ac:dyDescent="0.25">
      <c r="A1436" s="22"/>
      <c r="B1436" s="5"/>
      <c r="C1436" s="5"/>
      <c r="D1436" s="23"/>
      <c r="E1436" s="5"/>
      <c r="F1436" s="5"/>
      <c r="G1436" s="31">
        <f>IF($B1436="","",IFERROR(INDEX(Settings!$B$41:$B$55,MATCH($B1436,Settings!$A$41:$A$55,0)),"Check category"))</f>
      </c>
    </row>
    <row r="1437" spans="1:7" x14ac:dyDescent="0.25">
      <c r="A1437" s="22"/>
      <c r="B1437" s="5"/>
      <c r="C1437" s="5"/>
      <c r="D1437" s="23"/>
      <c r="E1437" s="5"/>
      <c r="F1437" s="5"/>
      <c r="G1437" s="31">
        <f>IF($B1437="","",IFERROR(INDEX(Settings!$B$41:$B$55,MATCH($B1437,Settings!$A$41:$A$55,0)),"Check category"))</f>
      </c>
    </row>
    <row r="1438" spans="1:7" x14ac:dyDescent="0.25">
      <c r="A1438" s="22"/>
      <c r="B1438" s="5"/>
      <c r="C1438" s="5"/>
      <c r="D1438" s="23"/>
      <c r="E1438" s="5"/>
      <c r="F1438" s="5"/>
      <c r="G1438" s="31">
        <f>IF($B1438="","",IFERROR(INDEX(Settings!$B$41:$B$55,MATCH($B1438,Settings!$A$41:$A$55,0)),"Check category"))</f>
      </c>
    </row>
    <row r="1439" spans="1:7" x14ac:dyDescent="0.25">
      <c r="A1439" s="22"/>
      <c r="B1439" s="5"/>
      <c r="C1439" s="5"/>
      <c r="D1439" s="23"/>
      <c r="E1439" s="5"/>
      <c r="F1439" s="5"/>
      <c r="G1439" s="31">
        <f>IF($B1439="","",IFERROR(INDEX(Settings!$B$41:$B$55,MATCH($B1439,Settings!$A$41:$A$55,0)),"Check category"))</f>
      </c>
    </row>
    <row r="1440" spans="1:7" x14ac:dyDescent="0.25">
      <c r="A1440" s="22"/>
      <c r="B1440" s="5"/>
      <c r="C1440" s="5"/>
      <c r="D1440" s="23"/>
      <c r="E1440" s="5"/>
      <c r="F1440" s="5"/>
      <c r="G1440" s="31">
        <f>IF($B1440="","",IFERROR(INDEX(Settings!$B$41:$B$55,MATCH($B1440,Settings!$A$41:$A$55,0)),"Check category"))</f>
      </c>
    </row>
    <row r="1441" spans="1:7" x14ac:dyDescent="0.25">
      <c r="A1441" s="22"/>
      <c r="B1441" s="5"/>
      <c r="C1441" s="5"/>
      <c r="D1441" s="23"/>
      <c r="E1441" s="5"/>
      <c r="F1441" s="5"/>
      <c r="G1441" s="31">
        <f>IF($B1441="","",IFERROR(INDEX(Settings!$B$41:$B$55,MATCH($B1441,Settings!$A$41:$A$55,0)),"Check category"))</f>
      </c>
    </row>
    <row r="1442" spans="1:7" x14ac:dyDescent="0.25">
      <c r="A1442" s="22"/>
      <c r="B1442" s="5"/>
      <c r="C1442" s="5"/>
      <c r="D1442" s="23"/>
      <c r="E1442" s="5"/>
      <c r="F1442" s="5"/>
      <c r="G1442" s="31">
        <f>IF($B1442="","",IFERROR(INDEX(Settings!$B$41:$B$55,MATCH($B1442,Settings!$A$41:$A$55,0)),"Check category"))</f>
      </c>
    </row>
    <row r="1443" spans="1:7" x14ac:dyDescent="0.25">
      <c r="A1443" s="22"/>
      <c r="B1443" s="5"/>
      <c r="C1443" s="5"/>
      <c r="D1443" s="23"/>
      <c r="E1443" s="5"/>
      <c r="F1443" s="5"/>
      <c r="G1443" s="31">
        <f>IF($B1443="","",IFERROR(INDEX(Settings!$B$41:$B$55,MATCH($B1443,Settings!$A$41:$A$55,0)),"Check category"))</f>
      </c>
    </row>
    <row r="1444" spans="1:7" x14ac:dyDescent="0.25">
      <c r="A1444" s="22"/>
      <c r="B1444" s="5"/>
      <c r="C1444" s="5"/>
      <c r="D1444" s="23"/>
      <c r="E1444" s="5"/>
      <c r="F1444" s="5"/>
      <c r="G1444" s="31">
        <f>IF($B1444="","",IFERROR(INDEX(Settings!$B$41:$B$55,MATCH($B1444,Settings!$A$41:$A$55,0)),"Check category"))</f>
      </c>
    </row>
    <row r="1445" spans="1:7" x14ac:dyDescent="0.25">
      <c r="A1445" s="22"/>
      <c r="B1445" s="5"/>
      <c r="C1445" s="5"/>
      <c r="D1445" s="23"/>
      <c r="E1445" s="5"/>
      <c r="F1445" s="5"/>
      <c r="G1445" s="31">
        <f>IF($B1445="","",IFERROR(INDEX(Settings!$B$41:$B$55,MATCH($B1445,Settings!$A$41:$A$55,0)),"Check category"))</f>
      </c>
    </row>
    <row r="1446" spans="1:7" x14ac:dyDescent="0.25">
      <c r="A1446" s="22"/>
      <c r="B1446" s="5"/>
      <c r="C1446" s="5"/>
      <c r="D1446" s="23"/>
      <c r="E1446" s="5"/>
      <c r="F1446" s="5"/>
      <c r="G1446" s="31">
        <f>IF($B1446="","",IFERROR(INDEX(Settings!$B$41:$B$55,MATCH($B1446,Settings!$A$41:$A$55,0)),"Check category"))</f>
      </c>
    </row>
    <row r="1447" spans="1:7" x14ac:dyDescent="0.25">
      <c r="A1447" s="22"/>
      <c r="B1447" s="5"/>
      <c r="C1447" s="5"/>
      <c r="D1447" s="23"/>
      <c r="E1447" s="5"/>
      <c r="F1447" s="5"/>
      <c r="G1447" s="31">
        <f>IF($B1447="","",IFERROR(INDEX(Settings!$B$41:$B$55,MATCH($B1447,Settings!$A$41:$A$55,0)),"Check category"))</f>
      </c>
    </row>
    <row r="1448" spans="1:7" x14ac:dyDescent="0.25">
      <c r="A1448" s="22"/>
      <c r="B1448" s="5"/>
      <c r="C1448" s="5"/>
      <c r="D1448" s="23"/>
      <c r="E1448" s="5"/>
      <c r="F1448" s="5"/>
      <c r="G1448" s="31">
        <f>IF($B1448="","",IFERROR(INDEX(Settings!$B$41:$B$55,MATCH($B1448,Settings!$A$41:$A$55,0)),"Check category"))</f>
      </c>
    </row>
    <row r="1449" spans="1:7" x14ac:dyDescent="0.25">
      <c r="A1449" s="22"/>
      <c r="B1449" s="5"/>
      <c r="C1449" s="5"/>
      <c r="D1449" s="23"/>
      <c r="E1449" s="5"/>
      <c r="F1449" s="5"/>
      <c r="G1449" s="31">
        <f>IF($B1449="","",IFERROR(INDEX(Settings!$B$41:$B$55,MATCH($B1449,Settings!$A$41:$A$55,0)),"Check category"))</f>
      </c>
    </row>
    <row r="1450" spans="1:7" x14ac:dyDescent="0.25">
      <c r="A1450" s="22"/>
      <c r="B1450" s="5"/>
      <c r="C1450" s="5"/>
      <c r="D1450" s="23"/>
      <c r="E1450" s="5"/>
      <c r="F1450" s="5"/>
      <c r="G1450" s="31">
        <f>IF($B1450="","",IFERROR(INDEX(Settings!$B$41:$B$55,MATCH($B1450,Settings!$A$41:$A$55,0)),"Check category"))</f>
      </c>
    </row>
    <row r="1451" spans="1:7" x14ac:dyDescent="0.25">
      <c r="A1451" s="22"/>
      <c r="B1451" s="5"/>
      <c r="C1451" s="5"/>
      <c r="D1451" s="23"/>
      <c r="E1451" s="5"/>
      <c r="F1451" s="5"/>
      <c r="G1451" s="31">
        <f>IF($B1451="","",IFERROR(INDEX(Settings!$B$41:$B$55,MATCH($B1451,Settings!$A$41:$A$55,0)),"Check category"))</f>
      </c>
    </row>
    <row r="1452" spans="1:7" x14ac:dyDescent="0.25">
      <c r="A1452" s="22"/>
      <c r="B1452" s="5"/>
      <c r="C1452" s="5"/>
      <c r="D1452" s="23"/>
      <c r="E1452" s="5"/>
      <c r="F1452" s="5"/>
      <c r="G1452" s="31">
        <f>IF($B1452="","",IFERROR(INDEX(Settings!$B$41:$B$55,MATCH($B1452,Settings!$A$41:$A$55,0)),"Check category"))</f>
      </c>
    </row>
    <row r="1453" spans="1:7" x14ac:dyDescent="0.25">
      <c r="A1453" s="22"/>
      <c r="B1453" s="5"/>
      <c r="C1453" s="5"/>
      <c r="D1453" s="23"/>
      <c r="E1453" s="5"/>
      <c r="F1453" s="5"/>
      <c r="G1453" s="31">
        <f>IF($B1453="","",IFERROR(INDEX(Settings!$B$41:$B$55,MATCH($B1453,Settings!$A$41:$A$55,0)),"Check category"))</f>
      </c>
    </row>
    <row r="1454" spans="1:7" x14ac:dyDescent="0.25">
      <c r="A1454" s="22"/>
      <c r="B1454" s="5"/>
      <c r="C1454" s="5"/>
      <c r="D1454" s="23"/>
      <c r="E1454" s="5"/>
      <c r="F1454" s="5"/>
      <c r="G1454" s="31">
        <f>IF($B1454="","",IFERROR(INDEX(Settings!$B$41:$B$55,MATCH($B1454,Settings!$A$41:$A$55,0)),"Check category"))</f>
      </c>
    </row>
    <row r="1455" spans="1:7" x14ac:dyDescent="0.25">
      <c r="A1455" s="22"/>
      <c r="B1455" s="5"/>
      <c r="C1455" s="5"/>
      <c r="D1455" s="23"/>
      <c r="E1455" s="5"/>
      <c r="F1455" s="5"/>
      <c r="G1455" s="31">
        <f>IF($B1455="","",IFERROR(INDEX(Settings!$B$41:$B$55,MATCH($B1455,Settings!$A$41:$A$55,0)),"Check category"))</f>
      </c>
    </row>
    <row r="1456" spans="1:7" x14ac:dyDescent="0.25">
      <c r="A1456" s="22"/>
      <c r="B1456" s="5"/>
      <c r="C1456" s="5"/>
      <c r="D1456" s="23"/>
      <c r="E1456" s="5"/>
      <c r="F1456" s="5"/>
      <c r="G1456" s="31">
        <f>IF($B1456="","",IFERROR(INDEX(Settings!$B$41:$B$55,MATCH($B1456,Settings!$A$41:$A$55,0)),"Check category"))</f>
      </c>
    </row>
    <row r="1457" spans="1:7" x14ac:dyDescent="0.25">
      <c r="A1457" s="22"/>
      <c r="B1457" s="5"/>
      <c r="C1457" s="5"/>
      <c r="D1457" s="23"/>
      <c r="E1457" s="5"/>
      <c r="F1457" s="5"/>
      <c r="G1457" s="31">
        <f>IF($B1457="","",IFERROR(INDEX(Settings!$B$41:$B$55,MATCH($B1457,Settings!$A$41:$A$55,0)),"Check category"))</f>
      </c>
    </row>
    <row r="1458" spans="1:7" x14ac:dyDescent="0.25">
      <c r="A1458" s="22"/>
      <c r="B1458" s="5"/>
      <c r="C1458" s="5"/>
      <c r="D1458" s="23"/>
      <c r="E1458" s="5"/>
      <c r="F1458" s="5"/>
      <c r="G1458" s="31">
        <f>IF($B1458="","",IFERROR(INDEX(Settings!$B$41:$B$55,MATCH($B1458,Settings!$A$41:$A$55,0)),"Check category"))</f>
      </c>
    </row>
    <row r="1459" spans="1:7" x14ac:dyDescent="0.25">
      <c r="A1459" s="22"/>
      <c r="B1459" s="5"/>
      <c r="C1459" s="5"/>
      <c r="D1459" s="23"/>
      <c r="E1459" s="5"/>
      <c r="F1459" s="5"/>
      <c r="G1459" s="31">
        <f>IF($B1459="","",IFERROR(INDEX(Settings!$B$41:$B$55,MATCH($B1459,Settings!$A$41:$A$55,0)),"Check category"))</f>
      </c>
    </row>
    <row r="1460" spans="1:7" x14ac:dyDescent="0.25">
      <c r="A1460" s="22"/>
      <c r="B1460" s="5"/>
      <c r="C1460" s="5"/>
      <c r="D1460" s="23"/>
      <c r="E1460" s="5"/>
      <c r="F1460" s="5"/>
      <c r="G1460" s="31">
        <f>IF($B1460="","",IFERROR(INDEX(Settings!$B$41:$B$55,MATCH($B1460,Settings!$A$41:$A$55,0)),"Check category"))</f>
      </c>
    </row>
    <row r="1461" spans="1:7" x14ac:dyDescent="0.25">
      <c r="A1461" s="22"/>
      <c r="B1461" s="5"/>
      <c r="C1461" s="5"/>
      <c r="D1461" s="23"/>
      <c r="E1461" s="5"/>
      <c r="F1461" s="5"/>
      <c r="G1461" s="31">
        <f>IF($B1461="","",IFERROR(INDEX(Settings!$B$41:$B$55,MATCH($B1461,Settings!$A$41:$A$55,0)),"Check category"))</f>
      </c>
    </row>
    <row r="1462" spans="1:7" x14ac:dyDescent="0.25">
      <c r="A1462" s="22"/>
      <c r="B1462" s="5"/>
      <c r="C1462" s="5"/>
      <c r="D1462" s="23"/>
      <c r="E1462" s="5"/>
      <c r="F1462" s="5"/>
      <c r="G1462" s="31">
        <f>IF($B1462="","",IFERROR(INDEX(Settings!$B$41:$B$55,MATCH($B1462,Settings!$A$41:$A$55,0)),"Check category"))</f>
      </c>
    </row>
    <row r="1463" spans="1:7" x14ac:dyDescent="0.25">
      <c r="A1463" s="22"/>
      <c r="B1463" s="5"/>
      <c r="C1463" s="5"/>
      <c r="D1463" s="23"/>
      <c r="E1463" s="5"/>
      <c r="F1463" s="5"/>
      <c r="G1463" s="31">
        <f>IF($B1463="","",IFERROR(INDEX(Settings!$B$41:$B$55,MATCH($B1463,Settings!$A$41:$A$55,0)),"Check category"))</f>
      </c>
    </row>
    <row r="1464" spans="1:7" x14ac:dyDescent="0.25">
      <c r="A1464" s="22"/>
      <c r="B1464" s="5"/>
      <c r="C1464" s="5"/>
      <c r="D1464" s="23"/>
      <c r="E1464" s="5"/>
      <c r="F1464" s="5"/>
      <c r="G1464" s="31">
        <f>IF($B1464="","",IFERROR(INDEX(Settings!$B$41:$B$55,MATCH($B1464,Settings!$A$41:$A$55,0)),"Check category"))</f>
      </c>
    </row>
    <row r="1465" spans="1:7" x14ac:dyDescent="0.25">
      <c r="A1465" s="22"/>
      <c r="B1465" s="5"/>
      <c r="C1465" s="5"/>
      <c r="D1465" s="23"/>
      <c r="E1465" s="5"/>
      <c r="F1465" s="5"/>
      <c r="G1465" s="31">
        <f>IF($B1465="","",IFERROR(INDEX(Settings!$B$41:$B$55,MATCH($B1465,Settings!$A$41:$A$55,0)),"Check category"))</f>
      </c>
    </row>
    <row r="1466" spans="1:7" x14ac:dyDescent="0.25">
      <c r="A1466" s="22"/>
      <c r="B1466" s="5"/>
      <c r="C1466" s="5"/>
      <c r="D1466" s="23"/>
      <c r="E1466" s="5"/>
      <c r="F1466" s="5"/>
      <c r="G1466" s="31">
        <f>IF($B1466="","",IFERROR(INDEX(Settings!$B$41:$B$55,MATCH($B1466,Settings!$A$41:$A$55,0)),"Check category"))</f>
      </c>
    </row>
    <row r="1467" spans="1:7" x14ac:dyDescent="0.25">
      <c r="A1467" s="22"/>
      <c r="B1467" s="5"/>
      <c r="C1467" s="5"/>
      <c r="D1467" s="23"/>
      <c r="E1467" s="5"/>
      <c r="F1467" s="5"/>
      <c r="G1467" s="31">
        <f>IF($B1467="","",IFERROR(INDEX(Settings!$B$41:$B$55,MATCH($B1467,Settings!$A$41:$A$55,0)),"Check category"))</f>
      </c>
    </row>
    <row r="1468" spans="1:7" x14ac:dyDescent="0.25">
      <c r="A1468" s="22"/>
      <c r="B1468" s="5"/>
      <c r="C1468" s="5"/>
      <c r="D1468" s="23"/>
      <c r="E1468" s="5"/>
      <c r="F1468" s="5"/>
      <c r="G1468" s="31">
        <f>IF($B1468="","",IFERROR(INDEX(Settings!$B$41:$B$55,MATCH($B1468,Settings!$A$41:$A$55,0)),"Check category"))</f>
      </c>
    </row>
    <row r="1469" spans="1:7" x14ac:dyDescent="0.25">
      <c r="A1469" s="22"/>
      <c r="B1469" s="5"/>
      <c r="C1469" s="5"/>
      <c r="D1469" s="23"/>
      <c r="E1469" s="5"/>
      <c r="F1469" s="5"/>
      <c r="G1469" s="31">
        <f>IF($B1469="","",IFERROR(INDEX(Settings!$B$41:$B$55,MATCH($B1469,Settings!$A$41:$A$55,0)),"Check category"))</f>
      </c>
    </row>
    <row r="1470" spans="1:7" x14ac:dyDescent="0.25">
      <c r="A1470" s="22"/>
      <c r="B1470" s="5"/>
      <c r="C1470" s="5"/>
      <c r="D1470" s="23"/>
      <c r="E1470" s="5"/>
      <c r="F1470" s="5"/>
      <c r="G1470" s="31">
        <f>IF($B1470="","",IFERROR(INDEX(Settings!$B$41:$B$55,MATCH($B1470,Settings!$A$41:$A$55,0)),"Check category"))</f>
      </c>
    </row>
    <row r="1471" spans="1:7" x14ac:dyDescent="0.25">
      <c r="A1471" s="22"/>
      <c r="B1471" s="5"/>
      <c r="C1471" s="5"/>
      <c r="D1471" s="23"/>
      <c r="E1471" s="5"/>
      <c r="F1471" s="5"/>
      <c r="G1471" s="31">
        <f>IF($B1471="","",IFERROR(INDEX(Settings!$B$41:$B$55,MATCH($B1471,Settings!$A$41:$A$55,0)),"Check category"))</f>
      </c>
    </row>
    <row r="1472" spans="1:7" x14ac:dyDescent="0.25">
      <c r="A1472" s="22"/>
      <c r="B1472" s="5"/>
      <c r="C1472" s="5"/>
      <c r="D1472" s="23"/>
      <c r="E1472" s="5"/>
      <c r="F1472" s="5"/>
      <c r="G1472" s="31">
        <f>IF($B1472="","",IFERROR(INDEX(Settings!$B$41:$B$55,MATCH($B1472,Settings!$A$41:$A$55,0)),"Check category"))</f>
      </c>
    </row>
    <row r="1473" spans="1:7" x14ac:dyDescent="0.25">
      <c r="A1473" s="22"/>
      <c r="B1473" s="5"/>
      <c r="C1473" s="5"/>
      <c r="D1473" s="23"/>
      <c r="E1473" s="5"/>
      <c r="F1473" s="5"/>
      <c r="G1473" s="31">
        <f>IF($B1473="","",IFERROR(INDEX(Settings!$B$41:$B$55,MATCH($B1473,Settings!$A$41:$A$55,0)),"Check category"))</f>
      </c>
    </row>
    <row r="1474" spans="1:7" x14ac:dyDescent="0.25">
      <c r="A1474" s="22"/>
      <c r="B1474" s="5"/>
      <c r="C1474" s="5"/>
      <c r="D1474" s="23"/>
      <c r="E1474" s="5"/>
      <c r="F1474" s="5"/>
      <c r="G1474" s="31">
        <f>IF($B1474="","",IFERROR(INDEX(Settings!$B$41:$B$55,MATCH($B1474,Settings!$A$41:$A$55,0)),"Check category"))</f>
      </c>
    </row>
    <row r="1475" spans="1:7" x14ac:dyDescent="0.25">
      <c r="A1475" s="22"/>
      <c r="B1475" s="5"/>
      <c r="C1475" s="5"/>
      <c r="D1475" s="23"/>
      <c r="E1475" s="5"/>
      <c r="F1475" s="5"/>
      <c r="G1475" s="31">
        <f>IF($B1475="","",IFERROR(INDEX(Settings!$B$41:$B$55,MATCH($B1475,Settings!$A$41:$A$55,0)),"Check category"))</f>
      </c>
    </row>
    <row r="1476" spans="1:7" x14ac:dyDescent="0.25">
      <c r="A1476" s="22"/>
      <c r="B1476" s="5"/>
      <c r="C1476" s="5"/>
      <c r="D1476" s="23"/>
      <c r="E1476" s="5"/>
      <c r="F1476" s="5"/>
      <c r="G1476" s="31">
        <f>IF($B1476="","",IFERROR(INDEX(Settings!$B$41:$B$55,MATCH($B1476,Settings!$A$41:$A$55,0)),"Check category"))</f>
      </c>
    </row>
    <row r="1477" spans="1:7" x14ac:dyDescent="0.25">
      <c r="A1477" s="22"/>
      <c r="B1477" s="5"/>
      <c r="C1477" s="5"/>
      <c r="D1477" s="23"/>
      <c r="E1477" s="5"/>
      <c r="F1477" s="5"/>
      <c r="G1477" s="31">
        <f>IF($B1477="","",IFERROR(INDEX(Settings!$B$41:$B$55,MATCH($B1477,Settings!$A$41:$A$55,0)),"Check category"))</f>
      </c>
    </row>
    <row r="1478" spans="1:7" x14ac:dyDescent="0.25">
      <c r="A1478" s="22"/>
      <c r="B1478" s="5"/>
      <c r="C1478" s="5"/>
      <c r="D1478" s="23"/>
      <c r="E1478" s="5"/>
      <c r="F1478" s="5"/>
      <c r="G1478" s="31">
        <f>IF($B1478="","",IFERROR(INDEX(Settings!$B$41:$B$55,MATCH($B1478,Settings!$A$41:$A$55,0)),"Check category"))</f>
      </c>
    </row>
    <row r="1479" spans="1:7" x14ac:dyDescent="0.25">
      <c r="A1479" s="22"/>
      <c r="B1479" s="5"/>
      <c r="C1479" s="5"/>
      <c r="D1479" s="23"/>
      <c r="E1479" s="5"/>
      <c r="F1479" s="5"/>
      <c r="G1479" s="31">
        <f>IF($B1479="","",IFERROR(INDEX(Settings!$B$41:$B$55,MATCH($B1479,Settings!$A$41:$A$55,0)),"Check category"))</f>
      </c>
    </row>
    <row r="1480" spans="1:7" x14ac:dyDescent="0.25">
      <c r="A1480" s="22"/>
      <c r="B1480" s="5"/>
      <c r="C1480" s="5"/>
      <c r="D1480" s="23"/>
      <c r="E1480" s="5"/>
      <c r="F1480" s="5"/>
      <c r="G1480" s="31">
        <f>IF($B1480="","",IFERROR(INDEX(Settings!$B$41:$B$55,MATCH($B1480,Settings!$A$41:$A$55,0)),"Check category"))</f>
      </c>
    </row>
    <row r="1481" spans="1:7" x14ac:dyDescent="0.25">
      <c r="A1481" s="22"/>
      <c r="B1481" s="5"/>
      <c r="C1481" s="5"/>
      <c r="D1481" s="23"/>
      <c r="E1481" s="5"/>
      <c r="F1481" s="5"/>
      <c r="G1481" s="31">
        <f>IF($B1481="","",IFERROR(INDEX(Settings!$B$41:$B$55,MATCH($B1481,Settings!$A$41:$A$55,0)),"Check category"))</f>
      </c>
    </row>
    <row r="1482" spans="1:7" x14ac:dyDescent="0.25">
      <c r="A1482" s="22"/>
      <c r="B1482" s="5"/>
      <c r="C1482" s="5"/>
      <c r="D1482" s="23"/>
      <c r="E1482" s="5"/>
      <c r="F1482" s="5"/>
      <c r="G1482" s="31">
        <f>IF($B1482="","",IFERROR(INDEX(Settings!$B$41:$B$55,MATCH($B1482,Settings!$A$41:$A$55,0)),"Check category"))</f>
      </c>
    </row>
    <row r="1483" spans="1:7" x14ac:dyDescent="0.25">
      <c r="A1483" s="22"/>
      <c r="B1483" s="5"/>
      <c r="C1483" s="5"/>
      <c r="D1483" s="23"/>
      <c r="E1483" s="5"/>
      <c r="F1483" s="5"/>
      <c r="G1483" s="31">
        <f>IF($B1483="","",IFERROR(INDEX(Settings!$B$41:$B$55,MATCH($B1483,Settings!$A$41:$A$55,0)),"Check category"))</f>
      </c>
    </row>
    <row r="1484" spans="1:7" x14ac:dyDescent="0.25">
      <c r="A1484" s="22"/>
      <c r="B1484" s="5"/>
      <c r="C1484" s="5"/>
      <c r="D1484" s="23"/>
      <c r="E1484" s="5"/>
      <c r="F1484" s="5"/>
      <c r="G1484" s="31">
        <f>IF($B1484="","",IFERROR(INDEX(Settings!$B$41:$B$55,MATCH($B1484,Settings!$A$41:$A$55,0)),"Check category"))</f>
      </c>
    </row>
    <row r="1485" spans="1:7" x14ac:dyDescent="0.25">
      <c r="A1485" s="22"/>
      <c r="B1485" s="5"/>
      <c r="C1485" s="5"/>
      <c r="D1485" s="23"/>
      <c r="E1485" s="5"/>
      <c r="F1485" s="5"/>
      <c r="G1485" s="31">
        <f>IF($B1485="","",IFERROR(INDEX(Settings!$B$41:$B$55,MATCH($B1485,Settings!$A$41:$A$55,0)),"Check category"))</f>
      </c>
    </row>
    <row r="1486" spans="1:7" x14ac:dyDescent="0.25">
      <c r="A1486" s="22"/>
      <c r="B1486" s="5"/>
      <c r="C1486" s="5"/>
      <c r="D1486" s="23"/>
      <c r="E1486" s="5"/>
      <c r="F1486" s="5"/>
      <c r="G1486" s="31">
        <f>IF($B1486="","",IFERROR(INDEX(Settings!$B$41:$B$55,MATCH($B1486,Settings!$A$41:$A$55,0)),"Check category"))</f>
      </c>
    </row>
    <row r="1487" spans="1:7" x14ac:dyDescent="0.25">
      <c r="A1487" s="22"/>
      <c r="B1487" s="5"/>
      <c r="C1487" s="5"/>
      <c r="D1487" s="23"/>
      <c r="E1487" s="5"/>
      <c r="F1487" s="5"/>
      <c r="G1487" s="31">
        <f>IF($B1487="","",IFERROR(INDEX(Settings!$B$41:$B$55,MATCH($B1487,Settings!$A$41:$A$55,0)),"Check category"))</f>
      </c>
    </row>
    <row r="1488" spans="1:7" x14ac:dyDescent="0.25">
      <c r="A1488" s="22"/>
      <c r="B1488" s="5"/>
      <c r="C1488" s="5"/>
      <c r="D1488" s="23"/>
      <c r="E1488" s="5"/>
      <c r="F1488" s="5"/>
      <c r="G1488" s="31">
        <f>IF($B1488="","",IFERROR(INDEX(Settings!$B$41:$B$55,MATCH($B1488,Settings!$A$41:$A$55,0)),"Check category"))</f>
      </c>
    </row>
    <row r="1489" spans="1:7" x14ac:dyDescent="0.25">
      <c r="A1489" s="22"/>
      <c r="B1489" s="5"/>
      <c r="C1489" s="5"/>
      <c r="D1489" s="23"/>
      <c r="E1489" s="5"/>
      <c r="F1489" s="5"/>
      <c r="G1489" s="31">
        <f>IF($B1489="","",IFERROR(INDEX(Settings!$B$41:$B$55,MATCH($B1489,Settings!$A$41:$A$55,0)),"Check category"))</f>
      </c>
    </row>
    <row r="1490" spans="1:7" x14ac:dyDescent="0.25">
      <c r="A1490" s="22"/>
      <c r="B1490" s="5"/>
      <c r="C1490" s="5"/>
      <c r="D1490" s="23"/>
      <c r="E1490" s="5"/>
      <c r="F1490" s="5"/>
      <c r="G1490" s="31">
        <f>IF($B1490="","",IFERROR(INDEX(Settings!$B$41:$B$55,MATCH($B1490,Settings!$A$41:$A$55,0)),"Check category"))</f>
      </c>
    </row>
    <row r="1491" spans="1:7" x14ac:dyDescent="0.25">
      <c r="A1491" s="22"/>
      <c r="B1491" s="5"/>
      <c r="C1491" s="5"/>
      <c r="D1491" s="23"/>
      <c r="E1491" s="5"/>
      <c r="F1491" s="5"/>
      <c r="G1491" s="31">
        <f>IF($B1491="","",IFERROR(INDEX(Settings!$B$41:$B$55,MATCH($B1491,Settings!$A$41:$A$55,0)),"Check category"))</f>
      </c>
    </row>
    <row r="1492" spans="1:7" x14ac:dyDescent="0.25">
      <c r="A1492" s="22"/>
      <c r="B1492" s="5"/>
      <c r="C1492" s="5"/>
      <c r="D1492" s="23"/>
      <c r="E1492" s="5"/>
      <c r="F1492" s="5"/>
      <c r="G1492" s="31">
        <f>IF($B1492="","",IFERROR(INDEX(Settings!$B$41:$B$55,MATCH($B1492,Settings!$A$41:$A$55,0)),"Check category"))</f>
      </c>
    </row>
    <row r="1493" spans="1:7" x14ac:dyDescent="0.25">
      <c r="A1493" s="22"/>
      <c r="B1493" s="5"/>
      <c r="C1493" s="5"/>
      <c r="D1493" s="23"/>
      <c r="E1493" s="5"/>
      <c r="F1493" s="5"/>
      <c r="G1493" s="31">
        <f>IF($B1493="","",IFERROR(INDEX(Settings!$B$41:$B$55,MATCH($B1493,Settings!$A$41:$A$55,0)),"Check category"))</f>
      </c>
    </row>
    <row r="1494" spans="1:7" x14ac:dyDescent="0.25">
      <c r="A1494" s="22"/>
      <c r="B1494" s="5"/>
      <c r="C1494" s="5"/>
      <c r="D1494" s="23"/>
      <c r="E1494" s="5"/>
      <c r="F1494" s="5"/>
      <c r="G1494" s="31">
        <f>IF($B1494="","",IFERROR(INDEX(Settings!$B$41:$B$55,MATCH($B1494,Settings!$A$41:$A$55,0)),"Check category"))</f>
      </c>
    </row>
    <row r="1495" spans="1:7" x14ac:dyDescent="0.25">
      <c r="A1495" s="22"/>
      <c r="B1495" s="5"/>
      <c r="C1495" s="5"/>
      <c r="D1495" s="23"/>
      <c r="E1495" s="5"/>
      <c r="F1495" s="5"/>
      <c r="G1495" s="31">
        <f>IF($B1495="","",IFERROR(INDEX(Settings!$B$41:$B$55,MATCH($B1495,Settings!$A$41:$A$55,0)),"Check category"))</f>
      </c>
    </row>
    <row r="1496" spans="1:7" x14ac:dyDescent="0.25">
      <c r="A1496" s="22"/>
      <c r="B1496" s="5"/>
      <c r="C1496" s="5"/>
      <c r="D1496" s="23"/>
      <c r="E1496" s="5"/>
      <c r="F1496" s="5"/>
      <c r="G1496" s="31">
        <f>IF($B1496="","",IFERROR(INDEX(Settings!$B$41:$B$55,MATCH($B1496,Settings!$A$41:$A$55,0)),"Check category"))</f>
      </c>
    </row>
    <row r="1497" spans="1:7" x14ac:dyDescent="0.25">
      <c r="A1497" s="22"/>
      <c r="B1497" s="5"/>
      <c r="C1497" s="5"/>
      <c r="D1497" s="23"/>
      <c r="E1497" s="5"/>
      <c r="F1497" s="5"/>
      <c r="G1497" s="31">
        <f>IF($B1497="","",IFERROR(INDEX(Settings!$B$41:$B$55,MATCH($B1497,Settings!$A$41:$A$55,0)),"Check category"))</f>
      </c>
    </row>
    <row r="1498" spans="1:7" x14ac:dyDescent="0.25">
      <c r="A1498" s="22"/>
      <c r="B1498" s="5"/>
      <c r="C1498" s="5"/>
      <c r="D1498" s="23"/>
      <c r="E1498" s="5"/>
      <c r="F1498" s="5"/>
      <c r="G1498" s="31">
        <f>IF($B1498="","",IFERROR(INDEX(Settings!$B$41:$B$55,MATCH($B1498,Settings!$A$41:$A$55,0)),"Check category"))</f>
      </c>
    </row>
    <row r="1499" spans="1:7" x14ac:dyDescent="0.25">
      <c r="A1499" s="22"/>
      <c r="B1499" s="5"/>
      <c r="C1499" s="5"/>
      <c r="D1499" s="23"/>
      <c r="E1499" s="5"/>
      <c r="F1499" s="5"/>
      <c r="G1499" s="31">
        <f>IF($B1499="","",IFERROR(INDEX(Settings!$B$41:$B$55,MATCH($B1499,Settings!$A$41:$A$55,0)),"Check category"))</f>
      </c>
    </row>
    <row r="1500" spans="1:7" x14ac:dyDescent="0.25">
      <c r="A1500" s="22"/>
      <c r="B1500" s="5"/>
      <c r="C1500" s="5"/>
      <c r="D1500" s="23"/>
      <c r="E1500" s="5"/>
      <c r="F1500" s="5"/>
      <c r="G1500" s="31">
        <f>IF($B1500="","",IFERROR(INDEX(Settings!$B$41:$B$55,MATCH($B1500,Settings!$A$41:$A$55,0)),"Check category"))</f>
      </c>
    </row>
    <row r="1501" spans="1:7" x14ac:dyDescent="0.25">
      <c r="A1501" s="22"/>
      <c r="B1501" s="5"/>
      <c r="C1501" s="5"/>
      <c r="D1501" s="23"/>
      <c r="E1501" s="5"/>
      <c r="F1501" s="5"/>
      <c r="G1501" s="31">
        <f>IF($B1501="","",IFERROR(INDEX(Settings!$B$41:$B$55,MATCH($B1501,Settings!$A$41:$A$55,0)),"Check category"))</f>
      </c>
    </row>
    <row r="1502" spans="1:7" x14ac:dyDescent="0.25">
      <c r="A1502" s="22"/>
      <c r="B1502" s="5"/>
      <c r="C1502" s="5"/>
      <c r="D1502" s="23"/>
      <c r="E1502" s="5"/>
      <c r="F1502" s="5"/>
      <c r="G1502" s="31">
        <f>IF($B1502="","",IFERROR(INDEX(Settings!$B$41:$B$55,MATCH($B1502,Settings!$A$41:$A$55,0)),"Check category"))</f>
      </c>
    </row>
    <row r="1503" spans="1:7" x14ac:dyDescent="0.25">
      <c r="A1503" s="22"/>
      <c r="B1503" s="5"/>
      <c r="C1503" s="5"/>
      <c r="D1503" s="23"/>
      <c r="E1503" s="5"/>
      <c r="F1503" s="5"/>
      <c r="G1503" s="31">
        <f>IF($B1503="","",IFERROR(INDEX(Settings!$B$41:$B$55,MATCH($B1503,Settings!$A$41:$A$55,0)),"Check category"))</f>
      </c>
    </row>
    <row r="1504" spans="1:7" x14ac:dyDescent="0.25">
      <c r="A1504" s="22"/>
      <c r="B1504" s="5"/>
      <c r="C1504" s="5"/>
      <c r="D1504" s="23"/>
      <c r="E1504" s="5"/>
      <c r="F1504" s="5"/>
      <c r="G1504" s="31">
        <f>IF($B1504="","",IFERROR(INDEX(Settings!$B$41:$B$55,MATCH($B1504,Settings!$A$41:$A$55,0)),"Check category"))</f>
      </c>
    </row>
    <row r="1505" spans="1:7" x14ac:dyDescent="0.25">
      <c r="A1505" s="22"/>
      <c r="B1505" s="5"/>
      <c r="C1505" s="5"/>
      <c r="D1505" s="23"/>
      <c r="E1505" s="5"/>
      <c r="F1505" s="5"/>
      <c r="G1505" s="31">
        <f>IF($B1505="","",IFERROR(INDEX(Settings!$B$41:$B$55,MATCH($B1505,Settings!$A$41:$A$55,0)),"Check category"))</f>
      </c>
    </row>
    <row r="1506" spans="1:7" x14ac:dyDescent="0.25">
      <c r="A1506" s="22"/>
      <c r="B1506" s="5"/>
      <c r="C1506" s="5"/>
      <c r="D1506" s="23"/>
      <c r="E1506" s="5"/>
      <c r="F1506" s="5"/>
      <c r="G1506" s="31">
        <f>IF($B1506="","",IFERROR(INDEX(Settings!$B$41:$B$55,MATCH($B1506,Settings!$A$41:$A$55,0)),"Check category"))</f>
      </c>
    </row>
    <row r="1507" spans="1:7" x14ac:dyDescent="0.25">
      <c r="A1507" s="22"/>
      <c r="B1507" s="5"/>
      <c r="C1507" s="5"/>
      <c r="D1507" s="23"/>
      <c r="E1507" s="5"/>
      <c r="F1507" s="5"/>
      <c r="G1507" s="31">
        <f>IF($B1507="","",IFERROR(INDEX(Settings!$B$41:$B$55,MATCH($B1507,Settings!$A$41:$A$55,0)),"Check category"))</f>
      </c>
    </row>
    <row r="1508" spans="1:7" x14ac:dyDescent="0.25">
      <c r="A1508" s="22"/>
      <c r="B1508" s="5"/>
      <c r="C1508" s="5"/>
      <c r="D1508" s="23"/>
      <c r="E1508" s="5"/>
      <c r="F1508" s="5"/>
      <c r="G1508" s="31">
        <f>IF($B1508="","",IFERROR(INDEX(Settings!$B$41:$B$55,MATCH($B1508,Settings!$A$41:$A$55,0)),"Check category"))</f>
      </c>
    </row>
    <row r="1509" spans="1:7" x14ac:dyDescent="0.25">
      <c r="A1509" s="22"/>
      <c r="B1509" s="5"/>
      <c r="C1509" s="5"/>
      <c r="D1509" s="23"/>
      <c r="E1509" s="5"/>
      <c r="F1509" s="5"/>
      <c r="G1509" s="31">
        <f>IF($B1509="","",IFERROR(INDEX(Settings!$B$41:$B$55,MATCH($B1509,Settings!$A$41:$A$55,0)),"Check category"))</f>
      </c>
    </row>
    <row r="1510" spans="1:7" x14ac:dyDescent="0.25">
      <c r="A1510" s="22"/>
      <c r="B1510" s="5"/>
      <c r="C1510" s="5"/>
      <c r="D1510" s="23"/>
      <c r="E1510" s="5"/>
      <c r="F1510" s="5"/>
      <c r="G1510" s="31">
        <f>IF($B1510="","",IFERROR(INDEX(Settings!$B$41:$B$55,MATCH($B1510,Settings!$A$41:$A$55,0)),"Check category"))</f>
      </c>
    </row>
    <row r="1511" spans="1:7" x14ac:dyDescent="0.25">
      <c r="A1511" s="22"/>
      <c r="B1511" s="5"/>
      <c r="C1511" s="5"/>
      <c r="D1511" s="23"/>
      <c r="E1511" s="5"/>
      <c r="F1511" s="5"/>
      <c r="G1511" s="31">
        <f>IF($B1511="","",IFERROR(INDEX(Settings!$B$41:$B$55,MATCH($B1511,Settings!$A$41:$A$55,0)),"Check category"))</f>
      </c>
    </row>
    <row r="1512" spans="1:7" x14ac:dyDescent="0.25">
      <c r="A1512" s="22"/>
      <c r="B1512" s="5"/>
      <c r="C1512" s="5"/>
      <c r="D1512" s="23"/>
      <c r="E1512" s="5"/>
      <c r="F1512" s="5"/>
      <c r="G1512" s="31">
        <f>IF($B1512="","",IFERROR(INDEX(Settings!$B$41:$B$55,MATCH($B1512,Settings!$A$41:$A$55,0)),"Check category"))</f>
      </c>
    </row>
    <row r="1513" spans="1:7" x14ac:dyDescent="0.25">
      <c r="A1513" s="22"/>
      <c r="B1513" s="5"/>
      <c r="C1513" s="5"/>
      <c r="D1513" s="23"/>
      <c r="E1513" s="5"/>
      <c r="F1513" s="5"/>
      <c r="G1513" s="31">
        <f>IF($B1513="","",IFERROR(INDEX(Settings!$B$41:$B$55,MATCH($B1513,Settings!$A$41:$A$55,0)),"Check category"))</f>
      </c>
    </row>
    <row r="1514" spans="1:7" x14ac:dyDescent="0.25">
      <c r="A1514" s="22"/>
      <c r="B1514" s="5"/>
      <c r="C1514" s="5"/>
      <c r="D1514" s="23"/>
      <c r="E1514" s="5"/>
      <c r="F1514" s="5"/>
      <c r="G1514" s="31">
        <f>IF($B1514="","",IFERROR(INDEX(Settings!$B$41:$B$55,MATCH($B1514,Settings!$A$41:$A$55,0)),"Check category"))</f>
      </c>
    </row>
    <row r="1515" spans="1:7" x14ac:dyDescent="0.25">
      <c r="A1515" s="22"/>
      <c r="B1515" s="5"/>
      <c r="C1515" s="5"/>
      <c r="D1515" s="23"/>
      <c r="E1515" s="5"/>
      <c r="F1515" s="5"/>
      <c r="G1515" s="31">
        <f>IF($B1515="","",IFERROR(INDEX(Settings!$B$41:$B$55,MATCH($B1515,Settings!$A$41:$A$55,0)),"Check category"))</f>
      </c>
    </row>
    <row r="1516" spans="1:7" x14ac:dyDescent="0.25">
      <c r="A1516" s="22"/>
      <c r="B1516" s="5"/>
      <c r="C1516" s="5"/>
      <c r="D1516" s="23"/>
      <c r="E1516" s="5"/>
      <c r="F1516" s="5"/>
      <c r="G1516" s="31">
        <f>IF($B1516="","",IFERROR(INDEX(Settings!$B$41:$B$55,MATCH($B1516,Settings!$A$41:$A$55,0)),"Check category"))</f>
      </c>
    </row>
    <row r="1517" spans="1:7" x14ac:dyDescent="0.25">
      <c r="A1517" s="22"/>
      <c r="B1517" s="5"/>
      <c r="C1517" s="5"/>
      <c r="D1517" s="23"/>
      <c r="E1517" s="5"/>
      <c r="F1517" s="5"/>
      <c r="G1517" s="31">
        <f>IF($B1517="","",IFERROR(INDEX(Settings!$B$41:$B$55,MATCH($B1517,Settings!$A$41:$A$55,0)),"Check category"))</f>
      </c>
    </row>
    <row r="1518" spans="1:7" x14ac:dyDescent="0.25">
      <c r="A1518" s="22"/>
      <c r="B1518" s="5"/>
      <c r="C1518" s="5"/>
      <c r="D1518" s="23"/>
      <c r="E1518" s="5"/>
      <c r="F1518" s="5"/>
      <c r="G1518" s="31">
        <f>IF($B1518="","",IFERROR(INDEX(Settings!$B$41:$B$55,MATCH($B1518,Settings!$A$41:$A$55,0)),"Check category"))</f>
      </c>
    </row>
    <row r="1519" spans="1:7" x14ac:dyDescent="0.25">
      <c r="A1519" s="22"/>
      <c r="B1519" s="5"/>
      <c r="C1519" s="5"/>
      <c r="D1519" s="23"/>
      <c r="E1519" s="5"/>
      <c r="F1519" s="5"/>
      <c r="G1519" s="31">
        <f>IF($B1519="","",IFERROR(INDEX(Settings!$B$41:$B$55,MATCH($B1519,Settings!$A$41:$A$55,0)),"Check category"))</f>
      </c>
    </row>
    <row r="1520" spans="1:7" x14ac:dyDescent="0.25">
      <c r="A1520" s="22"/>
      <c r="B1520" s="5"/>
      <c r="C1520" s="5"/>
      <c r="D1520" s="23"/>
      <c r="E1520" s="5"/>
      <c r="F1520" s="5"/>
      <c r="G1520" s="31">
        <f>IF($B1520="","",IFERROR(INDEX(Settings!$B$41:$B$55,MATCH($B1520,Settings!$A$41:$A$55,0)),"Check category"))</f>
      </c>
    </row>
    <row r="1521" spans="1:7" x14ac:dyDescent="0.25">
      <c r="A1521" s="22"/>
      <c r="B1521" s="5"/>
      <c r="C1521" s="5"/>
      <c r="D1521" s="23"/>
      <c r="E1521" s="5"/>
      <c r="F1521" s="5"/>
      <c r="G1521" s="31">
        <f>IF($B1521="","",IFERROR(INDEX(Settings!$B$41:$B$55,MATCH($B1521,Settings!$A$41:$A$55,0)),"Check category"))</f>
      </c>
    </row>
    <row r="1522" spans="1:7" x14ac:dyDescent="0.25">
      <c r="A1522" s="22"/>
      <c r="B1522" s="5"/>
      <c r="C1522" s="5"/>
      <c r="D1522" s="23"/>
      <c r="E1522" s="5"/>
      <c r="F1522" s="5"/>
      <c r="G1522" s="31">
        <f>IF($B1522="","",IFERROR(INDEX(Settings!$B$41:$B$55,MATCH($B1522,Settings!$A$41:$A$55,0)),"Check category"))</f>
      </c>
    </row>
    <row r="1523" spans="1:7" x14ac:dyDescent="0.25">
      <c r="A1523" s="22"/>
      <c r="B1523" s="5"/>
      <c r="C1523" s="5"/>
      <c r="D1523" s="23"/>
      <c r="E1523" s="5"/>
      <c r="F1523" s="5"/>
      <c r="G1523" s="31">
        <f>IF($B1523="","",IFERROR(INDEX(Settings!$B$41:$B$55,MATCH($B1523,Settings!$A$41:$A$55,0)),"Check category"))</f>
      </c>
    </row>
    <row r="1524" spans="1:7" x14ac:dyDescent="0.25">
      <c r="A1524" s="22"/>
      <c r="B1524" s="5"/>
      <c r="C1524" s="5"/>
      <c r="D1524" s="23"/>
      <c r="E1524" s="5"/>
      <c r="F1524" s="5"/>
      <c r="G1524" s="31">
        <f>IF($B1524="","",IFERROR(INDEX(Settings!$B$41:$B$55,MATCH($B1524,Settings!$A$41:$A$55,0)),"Check category"))</f>
      </c>
    </row>
    <row r="1525" spans="1:7" x14ac:dyDescent="0.25">
      <c r="A1525" s="22"/>
      <c r="B1525" s="5"/>
      <c r="C1525" s="5"/>
      <c r="D1525" s="23"/>
      <c r="E1525" s="5"/>
      <c r="F1525" s="5"/>
      <c r="G1525" s="31">
        <f>IF($B1525="","",IFERROR(INDEX(Settings!$B$41:$B$55,MATCH($B1525,Settings!$A$41:$A$55,0)),"Check category"))</f>
      </c>
    </row>
    <row r="1526" spans="1:7" x14ac:dyDescent="0.25">
      <c r="A1526" s="22"/>
      <c r="B1526" s="5"/>
      <c r="C1526" s="5"/>
      <c r="D1526" s="23"/>
      <c r="E1526" s="5"/>
      <c r="F1526" s="5"/>
      <c r="G1526" s="31">
        <f>IF($B1526="","",IFERROR(INDEX(Settings!$B$41:$B$55,MATCH($B1526,Settings!$A$41:$A$55,0)),"Check category"))</f>
      </c>
    </row>
    <row r="1527" spans="1:7" x14ac:dyDescent="0.25">
      <c r="A1527" s="22"/>
      <c r="B1527" s="5"/>
      <c r="C1527" s="5"/>
      <c r="D1527" s="23"/>
      <c r="E1527" s="5"/>
      <c r="F1527" s="5"/>
      <c r="G1527" s="31">
        <f>IF($B1527="","",IFERROR(INDEX(Settings!$B$41:$B$55,MATCH($B1527,Settings!$A$41:$A$55,0)),"Check category"))</f>
      </c>
    </row>
    <row r="1528" spans="1:7" x14ac:dyDescent="0.25">
      <c r="A1528" s="22"/>
      <c r="B1528" s="5"/>
      <c r="C1528" s="5"/>
      <c r="D1528" s="23"/>
      <c r="E1528" s="5"/>
      <c r="F1528" s="5"/>
      <c r="G1528" s="31">
        <f>IF($B1528="","",IFERROR(INDEX(Settings!$B$41:$B$55,MATCH($B1528,Settings!$A$41:$A$55,0)),"Check category"))</f>
      </c>
    </row>
    <row r="1529" spans="1:7" x14ac:dyDescent="0.25">
      <c r="A1529" s="22"/>
      <c r="B1529" s="5"/>
      <c r="C1529" s="5"/>
      <c r="D1529" s="23"/>
      <c r="E1529" s="5"/>
      <c r="F1529" s="5"/>
      <c r="G1529" s="31">
        <f>IF($B1529="","",IFERROR(INDEX(Settings!$B$41:$B$55,MATCH($B1529,Settings!$A$41:$A$55,0)),"Check category"))</f>
      </c>
    </row>
    <row r="1530" spans="1:7" x14ac:dyDescent="0.25">
      <c r="A1530" s="22"/>
      <c r="B1530" s="5"/>
      <c r="C1530" s="5"/>
      <c r="D1530" s="23"/>
      <c r="E1530" s="5"/>
      <c r="F1530" s="5"/>
      <c r="G1530" s="31">
        <f>IF($B1530="","",IFERROR(INDEX(Settings!$B$41:$B$55,MATCH($B1530,Settings!$A$41:$A$55,0)),"Check category"))</f>
      </c>
    </row>
    <row r="1531" spans="1:7" x14ac:dyDescent="0.25">
      <c r="A1531" s="22"/>
      <c r="B1531" s="5"/>
      <c r="C1531" s="5"/>
      <c r="D1531" s="23"/>
      <c r="E1531" s="5"/>
      <c r="F1531" s="5"/>
      <c r="G1531" s="31">
        <f>IF($B1531="","",IFERROR(INDEX(Settings!$B$41:$B$55,MATCH($B1531,Settings!$A$41:$A$55,0)),"Check category"))</f>
      </c>
    </row>
    <row r="1532" spans="1:7" x14ac:dyDescent="0.25">
      <c r="A1532" s="22"/>
      <c r="B1532" s="5"/>
      <c r="C1532" s="5"/>
      <c r="D1532" s="23"/>
      <c r="E1532" s="5"/>
      <c r="F1532" s="5"/>
      <c r="G1532" s="31">
        <f>IF($B1532="","",IFERROR(INDEX(Settings!$B$41:$B$55,MATCH($B1532,Settings!$A$41:$A$55,0)),"Check category"))</f>
      </c>
    </row>
    <row r="1533" spans="1:7" x14ac:dyDescent="0.25">
      <c r="A1533" s="22"/>
      <c r="B1533" s="5"/>
      <c r="C1533" s="5"/>
      <c r="D1533" s="23"/>
      <c r="E1533" s="5"/>
      <c r="F1533" s="5"/>
      <c r="G1533" s="31">
        <f>IF($B1533="","",IFERROR(INDEX(Settings!$B$41:$B$55,MATCH($B1533,Settings!$A$41:$A$55,0)),"Check category"))</f>
      </c>
    </row>
    <row r="1534" spans="1:7" x14ac:dyDescent="0.25">
      <c r="A1534" s="22"/>
      <c r="B1534" s="5"/>
      <c r="C1534" s="5"/>
      <c r="D1534" s="23"/>
      <c r="E1534" s="5"/>
      <c r="F1534" s="5"/>
      <c r="G1534" s="31">
        <f>IF($B1534="","",IFERROR(INDEX(Settings!$B$41:$B$55,MATCH($B1534,Settings!$A$41:$A$55,0)),"Check category"))</f>
      </c>
    </row>
    <row r="1535" spans="1:7" x14ac:dyDescent="0.25">
      <c r="A1535" s="22"/>
      <c r="B1535" s="5"/>
      <c r="C1535" s="5"/>
      <c r="D1535" s="23"/>
      <c r="E1535" s="5"/>
      <c r="F1535" s="5"/>
      <c r="G1535" s="31">
        <f>IF($B1535="","",IFERROR(INDEX(Settings!$B$41:$B$55,MATCH($B1535,Settings!$A$41:$A$55,0)),"Check category"))</f>
      </c>
    </row>
    <row r="1536" spans="1:7" x14ac:dyDescent="0.25">
      <c r="A1536" s="22"/>
      <c r="B1536" s="5"/>
      <c r="C1536" s="5"/>
      <c r="D1536" s="23"/>
      <c r="E1536" s="5"/>
      <c r="F1536" s="5"/>
      <c r="G1536" s="31">
        <f>IF($B1536="","",IFERROR(INDEX(Settings!$B$41:$B$55,MATCH($B1536,Settings!$A$41:$A$55,0)),"Check category"))</f>
      </c>
    </row>
    <row r="1537" spans="1:7" x14ac:dyDescent="0.25">
      <c r="A1537" s="22"/>
      <c r="B1537" s="5"/>
      <c r="C1537" s="5"/>
      <c r="D1537" s="23"/>
      <c r="E1537" s="5"/>
      <c r="F1537" s="5"/>
      <c r="G1537" s="31">
        <f>IF($B1537="","",IFERROR(INDEX(Settings!$B$41:$B$55,MATCH($B1537,Settings!$A$41:$A$55,0)),"Check category"))</f>
      </c>
    </row>
    <row r="1538" spans="1:7" x14ac:dyDescent="0.25">
      <c r="A1538" s="22"/>
      <c r="B1538" s="5"/>
      <c r="C1538" s="5"/>
      <c r="D1538" s="23"/>
      <c r="E1538" s="5"/>
      <c r="F1538" s="5"/>
      <c r="G1538" s="31">
        <f>IF($B1538="","",IFERROR(INDEX(Settings!$B$41:$B$55,MATCH($B1538,Settings!$A$41:$A$55,0)),"Check category"))</f>
      </c>
    </row>
    <row r="1539" spans="1:7" x14ac:dyDescent="0.25">
      <c r="A1539" s="22"/>
      <c r="B1539" s="5"/>
      <c r="C1539" s="5"/>
      <c r="D1539" s="23"/>
      <c r="E1539" s="5"/>
      <c r="F1539" s="5"/>
      <c r="G1539" s="31">
        <f>IF($B1539="","",IFERROR(INDEX(Settings!$B$41:$B$55,MATCH($B1539,Settings!$A$41:$A$55,0)),"Check category"))</f>
      </c>
    </row>
    <row r="1540" spans="1:7" x14ac:dyDescent="0.25">
      <c r="A1540" s="22"/>
      <c r="B1540" s="5"/>
      <c r="C1540" s="5"/>
      <c r="D1540" s="23"/>
      <c r="E1540" s="5"/>
      <c r="F1540" s="5"/>
      <c r="G1540" s="31">
        <f>IF($B1540="","",IFERROR(INDEX(Settings!$B$41:$B$55,MATCH($B1540,Settings!$A$41:$A$55,0)),"Check category"))</f>
      </c>
    </row>
    <row r="1541" spans="1:7" x14ac:dyDescent="0.25">
      <c r="A1541" s="22"/>
      <c r="B1541" s="5"/>
      <c r="C1541" s="5"/>
      <c r="D1541" s="23"/>
      <c r="E1541" s="5"/>
      <c r="F1541" s="5"/>
      <c r="G1541" s="31">
        <f>IF($B1541="","",IFERROR(INDEX(Settings!$B$41:$B$55,MATCH($B1541,Settings!$A$41:$A$55,0)),"Check category"))</f>
      </c>
    </row>
    <row r="1542" spans="1:7" x14ac:dyDescent="0.25">
      <c r="A1542" s="22"/>
      <c r="B1542" s="5"/>
      <c r="C1542" s="5"/>
      <c r="D1542" s="23"/>
      <c r="E1542" s="5"/>
      <c r="F1542" s="5"/>
      <c r="G1542" s="31">
        <f>IF($B1542="","",IFERROR(INDEX(Settings!$B$41:$B$55,MATCH($B1542,Settings!$A$41:$A$55,0)),"Check category"))</f>
      </c>
    </row>
    <row r="1543" spans="1:7" x14ac:dyDescent="0.25">
      <c r="A1543" s="22"/>
      <c r="B1543" s="5"/>
      <c r="C1543" s="5"/>
      <c r="D1543" s="23"/>
      <c r="E1543" s="5"/>
      <c r="F1543" s="5"/>
      <c r="G1543" s="31">
        <f>IF($B1543="","",IFERROR(INDEX(Settings!$B$41:$B$55,MATCH($B1543,Settings!$A$41:$A$55,0)),"Check category"))</f>
      </c>
    </row>
    <row r="1544" spans="1:7" x14ac:dyDescent="0.25">
      <c r="A1544" s="22"/>
      <c r="B1544" s="5"/>
      <c r="C1544" s="5"/>
      <c r="D1544" s="23"/>
      <c r="E1544" s="5"/>
      <c r="F1544" s="5"/>
      <c r="G1544" s="31">
        <f>IF($B1544="","",IFERROR(INDEX(Settings!$B$41:$B$55,MATCH($B1544,Settings!$A$41:$A$55,0)),"Check category"))</f>
      </c>
    </row>
    <row r="1545" spans="1:7" x14ac:dyDescent="0.25">
      <c r="A1545" s="22"/>
      <c r="B1545" s="5"/>
      <c r="C1545" s="5"/>
      <c r="D1545" s="23"/>
      <c r="E1545" s="5"/>
      <c r="F1545" s="5"/>
      <c r="G1545" s="31">
        <f>IF($B1545="","",IFERROR(INDEX(Settings!$B$41:$B$55,MATCH($B1545,Settings!$A$41:$A$55,0)),"Check category"))</f>
      </c>
    </row>
    <row r="1546" spans="1:7" x14ac:dyDescent="0.25">
      <c r="A1546" s="22"/>
      <c r="B1546" s="5"/>
      <c r="C1546" s="5"/>
      <c r="D1546" s="23"/>
      <c r="E1546" s="5"/>
      <c r="F1546" s="5"/>
      <c r="G1546" s="31">
        <f>IF($B1546="","",IFERROR(INDEX(Settings!$B$41:$B$55,MATCH($B1546,Settings!$A$41:$A$55,0)),"Check category"))</f>
      </c>
    </row>
    <row r="1547" spans="1:7" x14ac:dyDescent="0.25">
      <c r="A1547" s="22"/>
      <c r="B1547" s="5"/>
      <c r="C1547" s="5"/>
      <c r="D1547" s="23"/>
      <c r="E1547" s="5"/>
      <c r="F1547" s="5"/>
      <c r="G1547" s="31">
        <f>IF($B1547="","",IFERROR(INDEX(Settings!$B$41:$B$55,MATCH($B1547,Settings!$A$41:$A$55,0)),"Check category"))</f>
      </c>
    </row>
    <row r="1548" spans="1:7" x14ac:dyDescent="0.25">
      <c r="A1548" s="22"/>
      <c r="B1548" s="5"/>
      <c r="C1548" s="5"/>
      <c r="D1548" s="23"/>
      <c r="E1548" s="5"/>
      <c r="F1548" s="5"/>
      <c r="G1548" s="31">
        <f>IF($B1548="","",IFERROR(INDEX(Settings!$B$41:$B$55,MATCH($B1548,Settings!$A$41:$A$55,0)),"Check category"))</f>
      </c>
    </row>
    <row r="1549" spans="1:7" x14ac:dyDescent="0.25">
      <c r="A1549" s="22"/>
      <c r="B1549" s="5"/>
      <c r="C1549" s="5"/>
      <c r="D1549" s="23"/>
      <c r="E1549" s="5"/>
      <c r="F1549" s="5"/>
      <c r="G1549" s="31">
        <f>IF($B1549="","",IFERROR(INDEX(Settings!$B$41:$B$55,MATCH($B1549,Settings!$A$41:$A$55,0)),"Check category"))</f>
      </c>
    </row>
    <row r="1550" spans="1:7" x14ac:dyDescent="0.25">
      <c r="A1550" s="22"/>
      <c r="B1550" s="5"/>
      <c r="C1550" s="5"/>
      <c r="D1550" s="23"/>
      <c r="E1550" s="5"/>
      <c r="F1550" s="5"/>
      <c r="G1550" s="31">
        <f>IF($B1550="","",IFERROR(INDEX(Settings!$B$41:$B$55,MATCH($B1550,Settings!$A$41:$A$55,0)),"Check category"))</f>
      </c>
    </row>
    <row r="1551" spans="1:7" x14ac:dyDescent="0.25">
      <c r="A1551" s="22"/>
      <c r="B1551" s="5"/>
      <c r="C1551" s="5"/>
      <c r="D1551" s="23"/>
      <c r="E1551" s="5"/>
      <c r="F1551" s="5"/>
      <c r="G1551" s="31">
        <f>IF($B1551="","",IFERROR(INDEX(Settings!$B$41:$B$55,MATCH($B1551,Settings!$A$41:$A$55,0)),"Check category"))</f>
      </c>
    </row>
    <row r="1552" spans="1:7" x14ac:dyDescent="0.25">
      <c r="A1552" s="22"/>
      <c r="B1552" s="5"/>
      <c r="C1552" s="5"/>
      <c r="D1552" s="23"/>
      <c r="E1552" s="5"/>
      <c r="F1552" s="5"/>
      <c r="G1552" s="31">
        <f>IF($B1552="","",IFERROR(INDEX(Settings!$B$41:$B$55,MATCH($B1552,Settings!$A$41:$A$55,0)),"Check category"))</f>
      </c>
    </row>
    <row r="1553" spans="1:7" x14ac:dyDescent="0.25">
      <c r="A1553" s="22"/>
      <c r="B1553" s="5"/>
      <c r="C1553" s="5"/>
      <c r="D1553" s="23"/>
      <c r="E1553" s="5"/>
      <c r="F1553" s="5"/>
      <c r="G1553" s="31">
        <f>IF($B1553="","",IFERROR(INDEX(Settings!$B$41:$B$55,MATCH($B1553,Settings!$A$41:$A$55,0)),"Check category"))</f>
      </c>
    </row>
    <row r="1554" spans="1:7" x14ac:dyDescent="0.25">
      <c r="A1554" s="22"/>
      <c r="B1554" s="5"/>
      <c r="C1554" s="5"/>
      <c r="D1554" s="23"/>
      <c r="E1554" s="5"/>
      <c r="F1554" s="5"/>
      <c r="G1554" s="31">
        <f>IF($B1554="","",IFERROR(INDEX(Settings!$B$41:$B$55,MATCH($B1554,Settings!$A$41:$A$55,0)),"Check category"))</f>
      </c>
    </row>
    <row r="1555" spans="1:7" x14ac:dyDescent="0.25">
      <c r="A1555" s="22"/>
      <c r="B1555" s="5"/>
      <c r="C1555" s="5"/>
      <c r="D1555" s="23"/>
      <c r="E1555" s="5"/>
      <c r="F1555" s="5"/>
      <c r="G1555" s="31">
        <f>IF($B1555="","",IFERROR(INDEX(Settings!$B$41:$B$55,MATCH($B1555,Settings!$A$41:$A$55,0)),"Check category"))</f>
      </c>
    </row>
    <row r="1556" spans="1:7" x14ac:dyDescent="0.25">
      <c r="A1556" s="22"/>
      <c r="B1556" s="5"/>
      <c r="C1556" s="5"/>
      <c r="D1556" s="23"/>
      <c r="E1556" s="5"/>
      <c r="F1556" s="5"/>
      <c r="G1556" s="31">
        <f>IF($B1556="","",IFERROR(INDEX(Settings!$B$41:$B$55,MATCH($B1556,Settings!$A$41:$A$55,0)),"Check category"))</f>
      </c>
    </row>
    <row r="1557" spans="1:7" x14ac:dyDescent="0.25">
      <c r="A1557" s="22"/>
      <c r="B1557" s="5"/>
      <c r="C1557" s="5"/>
      <c r="D1557" s="23"/>
      <c r="E1557" s="5"/>
      <c r="F1557" s="5"/>
      <c r="G1557" s="31">
        <f>IF($B1557="","",IFERROR(INDEX(Settings!$B$41:$B$55,MATCH($B1557,Settings!$A$41:$A$55,0)),"Check category"))</f>
      </c>
    </row>
    <row r="1558" spans="1:7" x14ac:dyDescent="0.25">
      <c r="A1558" s="22"/>
      <c r="B1558" s="5"/>
      <c r="C1558" s="5"/>
      <c r="D1558" s="23"/>
      <c r="E1558" s="5"/>
      <c r="F1558" s="5"/>
      <c r="G1558" s="31">
        <f>IF($B1558="","",IFERROR(INDEX(Settings!$B$41:$B$55,MATCH($B1558,Settings!$A$41:$A$55,0)),"Check category"))</f>
      </c>
    </row>
    <row r="1559" spans="1:7" x14ac:dyDescent="0.25">
      <c r="A1559" s="22"/>
      <c r="B1559" s="5"/>
      <c r="C1559" s="5"/>
      <c r="D1559" s="23"/>
      <c r="E1559" s="5"/>
      <c r="F1559" s="5"/>
      <c r="G1559" s="31">
        <f>IF($B1559="","",IFERROR(INDEX(Settings!$B$41:$B$55,MATCH($B1559,Settings!$A$41:$A$55,0)),"Check category"))</f>
      </c>
    </row>
    <row r="1560" spans="1:7" x14ac:dyDescent="0.25">
      <c r="A1560" s="22"/>
      <c r="B1560" s="5"/>
      <c r="C1560" s="5"/>
      <c r="D1560" s="23"/>
      <c r="E1560" s="5"/>
      <c r="F1560" s="5"/>
      <c r="G1560" s="31">
        <f>IF($B1560="","",IFERROR(INDEX(Settings!$B$41:$B$55,MATCH($B1560,Settings!$A$41:$A$55,0)),"Check category"))</f>
      </c>
    </row>
    <row r="1561" spans="1:7" x14ac:dyDescent="0.25">
      <c r="A1561" s="22"/>
      <c r="B1561" s="5"/>
      <c r="C1561" s="5"/>
      <c r="D1561" s="23"/>
      <c r="E1561" s="5"/>
      <c r="F1561" s="5"/>
      <c r="G1561" s="31">
        <f>IF($B1561="","",IFERROR(INDEX(Settings!$B$41:$B$55,MATCH($B1561,Settings!$A$41:$A$55,0)),"Check category"))</f>
      </c>
    </row>
    <row r="1562" spans="1:7" x14ac:dyDescent="0.25">
      <c r="A1562" s="22"/>
      <c r="B1562" s="5"/>
      <c r="C1562" s="5"/>
      <c r="D1562" s="23"/>
      <c r="E1562" s="5"/>
      <c r="F1562" s="5"/>
      <c r="G1562" s="31">
        <f>IF($B1562="","",IFERROR(INDEX(Settings!$B$41:$B$55,MATCH($B1562,Settings!$A$41:$A$55,0)),"Check category"))</f>
      </c>
    </row>
    <row r="1563" spans="1:7" x14ac:dyDescent="0.25">
      <c r="A1563" s="22"/>
      <c r="B1563" s="5"/>
      <c r="C1563" s="5"/>
      <c r="D1563" s="23"/>
      <c r="E1563" s="5"/>
      <c r="F1563" s="5"/>
      <c r="G1563" s="31">
        <f>IF($B1563="","",IFERROR(INDEX(Settings!$B$41:$B$55,MATCH($B1563,Settings!$A$41:$A$55,0)),"Check category"))</f>
      </c>
    </row>
    <row r="1564" spans="1:7" x14ac:dyDescent="0.25">
      <c r="A1564" s="22"/>
      <c r="B1564" s="5"/>
      <c r="C1564" s="5"/>
      <c r="D1564" s="23"/>
      <c r="E1564" s="5"/>
      <c r="F1564" s="5"/>
      <c r="G1564" s="31">
        <f>IF($B1564="","",IFERROR(INDEX(Settings!$B$41:$B$55,MATCH($B1564,Settings!$A$41:$A$55,0)),"Check category"))</f>
      </c>
    </row>
    <row r="1565" spans="1:7" x14ac:dyDescent="0.25">
      <c r="A1565" s="22"/>
      <c r="B1565" s="5"/>
      <c r="C1565" s="5"/>
      <c r="D1565" s="23"/>
      <c r="E1565" s="5"/>
      <c r="F1565" s="5"/>
      <c r="G1565" s="31">
        <f>IF($B1565="","",IFERROR(INDEX(Settings!$B$41:$B$55,MATCH($B1565,Settings!$A$41:$A$55,0)),"Check category"))</f>
      </c>
    </row>
    <row r="1566" spans="1:7" x14ac:dyDescent="0.25">
      <c r="A1566" s="22"/>
      <c r="B1566" s="5"/>
      <c r="C1566" s="5"/>
      <c r="D1566" s="23"/>
      <c r="E1566" s="5"/>
      <c r="F1566" s="5"/>
      <c r="G1566" s="31">
        <f>IF($B1566="","",IFERROR(INDEX(Settings!$B$41:$B$55,MATCH($B1566,Settings!$A$41:$A$55,0)),"Check category"))</f>
      </c>
    </row>
    <row r="1567" spans="1:7" x14ac:dyDescent="0.25">
      <c r="A1567" s="22"/>
      <c r="B1567" s="5"/>
      <c r="C1567" s="5"/>
      <c r="D1567" s="23"/>
      <c r="E1567" s="5"/>
      <c r="F1567" s="5"/>
      <c r="G1567" s="31">
        <f>IF($B1567="","",IFERROR(INDEX(Settings!$B$41:$B$55,MATCH($B1567,Settings!$A$41:$A$55,0)),"Check category"))</f>
      </c>
    </row>
    <row r="1568" spans="1:7" x14ac:dyDescent="0.25">
      <c r="A1568" s="22"/>
      <c r="B1568" s="5"/>
      <c r="C1568" s="5"/>
      <c r="D1568" s="23"/>
      <c r="E1568" s="5"/>
      <c r="F1568" s="5"/>
      <c r="G1568" s="31">
        <f>IF($B1568="","",IFERROR(INDEX(Settings!$B$41:$B$55,MATCH($B1568,Settings!$A$41:$A$55,0)),"Check category"))</f>
      </c>
    </row>
    <row r="1569" spans="1:7" x14ac:dyDescent="0.25">
      <c r="A1569" s="22"/>
      <c r="B1569" s="5"/>
      <c r="C1569" s="5"/>
      <c r="D1569" s="23"/>
      <c r="E1569" s="5"/>
      <c r="F1569" s="5"/>
      <c r="G1569" s="31">
        <f>IF($B1569="","",IFERROR(INDEX(Settings!$B$41:$B$55,MATCH($B1569,Settings!$A$41:$A$55,0)),"Check category"))</f>
      </c>
    </row>
    <row r="1570" spans="1:7" x14ac:dyDescent="0.25">
      <c r="A1570" s="22"/>
      <c r="B1570" s="5"/>
      <c r="C1570" s="5"/>
      <c r="D1570" s="23"/>
      <c r="E1570" s="5"/>
      <c r="F1570" s="5"/>
      <c r="G1570" s="31">
        <f>IF($B1570="","",IFERROR(INDEX(Settings!$B$41:$B$55,MATCH($B1570,Settings!$A$41:$A$55,0)),"Check category"))</f>
      </c>
    </row>
    <row r="1571" spans="1:7" x14ac:dyDescent="0.25">
      <c r="A1571" s="22"/>
      <c r="B1571" s="5"/>
      <c r="C1571" s="5"/>
      <c r="D1571" s="23"/>
      <c r="E1571" s="5"/>
      <c r="F1571" s="5"/>
      <c r="G1571" s="31">
        <f>IF($B1571="","",IFERROR(INDEX(Settings!$B$41:$B$55,MATCH($B1571,Settings!$A$41:$A$55,0)),"Check category"))</f>
      </c>
    </row>
    <row r="1572" spans="1:7" x14ac:dyDescent="0.25">
      <c r="A1572" s="22"/>
      <c r="B1572" s="5"/>
      <c r="C1572" s="5"/>
      <c r="D1572" s="23"/>
      <c r="E1572" s="5"/>
      <c r="F1572" s="5"/>
      <c r="G1572" s="31">
        <f>IF($B1572="","",IFERROR(INDEX(Settings!$B$41:$B$55,MATCH($B1572,Settings!$A$41:$A$55,0)),"Check category"))</f>
      </c>
    </row>
    <row r="1573" spans="1:7" x14ac:dyDescent="0.25">
      <c r="A1573" s="22"/>
      <c r="B1573" s="5"/>
      <c r="C1573" s="5"/>
      <c r="D1573" s="23"/>
      <c r="E1573" s="5"/>
      <c r="F1573" s="5"/>
      <c r="G1573" s="31">
        <f>IF($B1573="","",IFERROR(INDEX(Settings!$B$41:$B$55,MATCH($B1573,Settings!$A$41:$A$55,0)),"Check category"))</f>
      </c>
    </row>
    <row r="1574" spans="1:7" x14ac:dyDescent="0.25">
      <c r="A1574" s="22"/>
      <c r="B1574" s="5"/>
      <c r="C1574" s="5"/>
      <c r="D1574" s="23"/>
      <c r="E1574" s="5"/>
      <c r="F1574" s="5"/>
      <c r="G1574" s="31">
        <f>IF($B1574="","",IFERROR(INDEX(Settings!$B$41:$B$55,MATCH($B1574,Settings!$A$41:$A$55,0)),"Check category"))</f>
      </c>
    </row>
    <row r="1575" spans="1:7" x14ac:dyDescent="0.25">
      <c r="A1575" s="22"/>
      <c r="B1575" s="5"/>
      <c r="C1575" s="5"/>
      <c r="D1575" s="23"/>
      <c r="E1575" s="5"/>
      <c r="F1575" s="5"/>
      <c r="G1575" s="31">
        <f>IF($B1575="","",IFERROR(INDEX(Settings!$B$41:$B$55,MATCH($B1575,Settings!$A$41:$A$55,0)),"Check category"))</f>
      </c>
    </row>
    <row r="1576" spans="1:7" x14ac:dyDescent="0.25">
      <c r="A1576" s="22"/>
      <c r="B1576" s="5"/>
      <c r="C1576" s="5"/>
      <c r="D1576" s="23"/>
      <c r="E1576" s="5"/>
      <c r="F1576" s="5"/>
      <c r="G1576" s="31">
        <f>IF($B1576="","",IFERROR(INDEX(Settings!$B$41:$B$55,MATCH($B1576,Settings!$A$41:$A$55,0)),"Check category"))</f>
      </c>
    </row>
    <row r="1577" spans="1:7" x14ac:dyDescent="0.25">
      <c r="A1577" s="22"/>
      <c r="B1577" s="5"/>
      <c r="C1577" s="5"/>
      <c r="D1577" s="23"/>
      <c r="E1577" s="5"/>
      <c r="F1577" s="5"/>
      <c r="G1577" s="31">
        <f>IF($B1577="","",IFERROR(INDEX(Settings!$B$41:$B$55,MATCH($B1577,Settings!$A$41:$A$55,0)),"Check category"))</f>
      </c>
    </row>
    <row r="1578" spans="1:7" x14ac:dyDescent="0.25">
      <c r="A1578" s="22"/>
      <c r="B1578" s="5"/>
      <c r="C1578" s="5"/>
      <c r="D1578" s="23"/>
      <c r="E1578" s="5"/>
      <c r="F1578" s="5"/>
      <c r="G1578" s="31">
        <f>IF($B1578="","",IFERROR(INDEX(Settings!$B$41:$B$55,MATCH($B1578,Settings!$A$41:$A$55,0)),"Check category"))</f>
      </c>
    </row>
    <row r="1579" spans="1:7" x14ac:dyDescent="0.25">
      <c r="A1579" s="22"/>
      <c r="B1579" s="5"/>
      <c r="C1579" s="5"/>
      <c r="D1579" s="23"/>
      <c r="E1579" s="5"/>
      <c r="F1579" s="5"/>
      <c r="G1579" s="31">
        <f>IF($B1579="","",IFERROR(INDEX(Settings!$B$41:$B$55,MATCH($B1579,Settings!$A$41:$A$55,0)),"Check category"))</f>
      </c>
    </row>
    <row r="1580" spans="1:7" x14ac:dyDescent="0.25">
      <c r="A1580" s="22"/>
      <c r="B1580" s="5"/>
      <c r="C1580" s="5"/>
      <c r="D1580" s="23"/>
      <c r="E1580" s="5"/>
      <c r="F1580" s="5"/>
      <c r="G1580" s="31">
        <f>IF($B1580="","",IFERROR(INDEX(Settings!$B$41:$B$55,MATCH($B1580,Settings!$A$41:$A$55,0)),"Check category"))</f>
      </c>
    </row>
    <row r="1581" spans="1:7" x14ac:dyDescent="0.25">
      <c r="A1581" s="22"/>
      <c r="B1581" s="5"/>
      <c r="C1581" s="5"/>
      <c r="D1581" s="23"/>
      <c r="E1581" s="5"/>
      <c r="F1581" s="5"/>
      <c r="G1581" s="31">
        <f>IF($B1581="","",IFERROR(INDEX(Settings!$B$41:$B$55,MATCH($B1581,Settings!$A$41:$A$55,0)),"Check category"))</f>
      </c>
    </row>
    <row r="1582" spans="1:7" x14ac:dyDescent="0.25">
      <c r="A1582" s="22"/>
      <c r="B1582" s="5"/>
      <c r="C1582" s="5"/>
      <c r="D1582" s="23"/>
      <c r="E1582" s="5"/>
      <c r="F1582" s="5"/>
      <c r="G1582" s="31">
        <f>IF($B1582="","",IFERROR(INDEX(Settings!$B$41:$B$55,MATCH($B1582,Settings!$A$41:$A$55,0)),"Check category"))</f>
      </c>
    </row>
    <row r="1583" spans="1:7" x14ac:dyDescent="0.25">
      <c r="A1583" s="22"/>
      <c r="B1583" s="5"/>
      <c r="C1583" s="5"/>
      <c r="D1583" s="23"/>
      <c r="E1583" s="5"/>
      <c r="F1583" s="5"/>
      <c r="G1583" s="31">
        <f>IF($B1583="","",IFERROR(INDEX(Settings!$B$41:$B$55,MATCH($B1583,Settings!$A$41:$A$55,0)),"Check category"))</f>
      </c>
    </row>
    <row r="1584" spans="1:7" x14ac:dyDescent="0.25">
      <c r="A1584" s="22"/>
      <c r="B1584" s="5"/>
      <c r="C1584" s="5"/>
      <c r="D1584" s="23"/>
      <c r="E1584" s="5"/>
      <c r="F1584" s="5"/>
      <c r="G1584" s="31">
        <f>IF($B1584="","",IFERROR(INDEX(Settings!$B$41:$B$55,MATCH($B1584,Settings!$A$41:$A$55,0)),"Check category"))</f>
      </c>
    </row>
    <row r="1585" spans="1:7" x14ac:dyDescent="0.25">
      <c r="A1585" s="22"/>
      <c r="B1585" s="5"/>
      <c r="C1585" s="5"/>
      <c r="D1585" s="23"/>
      <c r="E1585" s="5"/>
      <c r="F1585" s="5"/>
      <c r="G1585" s="31">
        <f>IF($B1585="","",IFERROR(INDEX(Settings!$B$41:$B$55,MATCH($B1585,Settings!$A$41:$A$55,0)),"Check category"))</f>
      </c>
    </row>
    <row r="1586" spans="1:7" x14ac:dyDescent="0.25">
      <c r="A1586" s="22"/>
      <c r="B1586" s="5"/>
      <c r="C1586" s="5"/>
      <c r="D1586" s="23"/>
      <c r="E1586" s="5"/>
      <c r="F1586" s="5"/>
      <c r="G1586" s="31">
        <f>IF($B1586="","",IFERROR(INDEX(Settings!$B$41:$B$55,MATCH($B1586,Settings!$A$41:$A$55,0)),"Check category"))</f>
      </c>
    </row>
    <row r="1587" spans="1:7" x14ac:dyDescent="0.25">
      <c r="A1587" s="22"/>
      <c r="B1587" s="5"/>
      <c r="C1587" s="5"/>
      <c r="D1587" s="23"/>
      <c r="E1587" s="5"/>
      <c r="F1587" s="5"/>
      <c r="G1587" s="31">
        <f>IF($B1587="","",IFERROR(INDEX(Settings!$B$41:$B$55,MATCH($B1587,Settings!$A$41:$A$55,0)),"Check category"))</f>
      </c>
    </row>
    <row r="1588" spans="1:7" x14ac:dyDescent="0.25">
      <c r="A1588" s="22"/>
      <c r="B1588" s="5"/>
      <c r="C1588" s="5"/>
      <c r="D1588" s="23"/>
      <c r="E1588" s="5"/>
      <c r="F1588" s="5"/>
      <c r="G1588" s="31">
        <f>IF($B1588="","",IFERROR(INDEX(Settings!$B$41:$B$55,MATCH($B1588,Settings!$A$41:$A$55,0)),"Check category"))</f>
      </c>
    </row>
    <row r="1589" spans="1:7" x14ac:dyDescent="0.25">
      <c r="A1589" s="22"/>
      <c r="B1589" s="5"/>
      <c r="C1589" s="5"/>
      <c r="D1589" s="23"/>
      <c r="E1589" s="5"/>
      <c r="F1589" s="5"/>
      <c r="G1589" s="31">
        <f>IF($B1589="","",IFERROR(INDEX(Settings!$B$41:$B$55,MATCH($B1589,Settings!$A$41:$A$55,0)),"Check category"))</f>
      </c>
    </row>
    <row r="1590" spans="1:7" x14ac:dyDescent="0.25">
      <c r="A1590" s="22"/>
      <c r="B1590" s="5"/>
      <c r="C1590" s="5"/>
      <c r="D1590" s="23"/>
      <c r="E1590" s="5"/>
      <c r="F1590" s="5"/>
      <c r="G1590" s="31">
        <f>IF($B1590="","",IFERROR(INDEX(Settings!$B$41:$B$55,MATCH($B1590,Settings!$A$41:$A$55,0)),"Check category"))</f>
      </c>
    </row>
    <row r="1591" spans="1:7" x14ac:dyDescent="0.25">
      <c r="A1591" s="22"/>
      <c r="B1591" s="5"/>
      <c r="C1591" s="5"/>
      <c r="D1591" s="23"/>
      <c r="E1591" s="5"/>
      <c r="F1591" s="5"/>
      <c r="G1591" s="31">
        <f>IF($B1591="","",IFERROR(INDEX(Settings!$B$41:$B$55,MATCH($B1591,Settings!$A$41:$A$55,0)),"Check category"))</f>
      </c>
    </row>
    <row r="1592" spans="1:7" x14ac:dyDescent="0.25">
      <c r="A1592" s="22"/>
      <c r="B1592" s="5"/>
      <c r="C1592" s="5"/>
      <c r="D1592" s="23"/>
      <c r="E1592" s="5"/>
      <c r="F1592" s="5"/>
      <c r="G1592" s="31">
        <f>IF($B1592="","",IFERROR(INDEX(Settings!$B$41:$B$55,MATCH($B1592,Settings!$A$41:$A$55,0)),"Check category"))</f>
      </c>
    </row>
    <row r="1593" spans="1:7" x14ac:dyDescent="0.25">
      <c r="A1593" s="22"/>
      <c r="B1593" s="5"/>
      <c r="C1593" s="5"/>
      <c r="D1593" s="23"/>
      <c r="E1593" s="5"/>
      <c r="F1593" s="5"/>
      <c r="G1593" s="31">
        <f>IF($B1593="","",IFERROR(INDEX(Settings!$B$41:$B$55,MATCH($B1593,Settings!$A$41:$A$55,0)),"Check category"))</f>
      </c>
    </row>
    <row r="1594" spans="1:7" x14ac:dyDescent="0.25">
      <c r="A1594" s="22"/>
      <c r="B1594" s="5"/>
      <c r="C1594" s="5"/>
      <c r="D1594" s="23"/>
      <c r="E1594" s="5"/>
      <c r="F1594" s="5"/>
      <c r="G1594" s="31">
        <f>IF($B1594="","",IFERROR(INDEX(Settings!$B$41:$B$55,MATCH($B1594,Settings!$A$41:$A$55,0)),"Check category"))</f>
      </c>
    </row>
    <row r="1595" spans="1:7" x14ac:dyDescent="0.25">
      <c r="A1595" s="22"/>
      <c r="B1595" s="5"/>
      <c r="C1595" s="5"/>
      <c r="D1595" s="23"/>
      <c r="E1595" s="5"/>
      <c r="F1595" s="5"/>
      <c r="G1595" s="31">
        <f>IF($B1595="","",IFERROR(INDEX(Settings!$B$41:$B$55,MATCH($B1595,Settings!$A$41:$A$55,0)),"Check category"))</f>
      </c>
    </row>
    <row r="1596" spans="1:7" x14ac:dyDescent="0.25">
      <c r="A1596" s="22"/>
      <c r="B1596" s="5"/>
      <c r="C1596" s="5"/>
      <c r="D1596" s="23"/>
      <c r="E1596" s="5"/>
      <c r="F1596" s="5"/>
      <c r="G1596" s="31">
        <f>IF($B1596="","",IFERROR(INDEX(Settings!$B$41:$B$55,MATCH($B1596,Settings!$A$41:$A$55,0)),"Check category"))</f>
      </c>
    </row>
    <row r="1597" spans="1:7" x14ac:dyDescent="0.25">
      <c r="A1597" s="22"/>
      <c r="B1597" s="5"/>
      <c r="C1597" s="5"/>
      <c r="D1597" s="23"/>
      <c r="E1597" s="5"/>
      <c r="F1597" s="5"/>
      <c r="G1597" s="31">
        <f>IF($B1597="","",IFERROR(INDEX(Settings!$B$41:$B$55,MATCH($B1597,Settings!$A$41:$A$55,0)),"Check category"))</f>
      </c>
    </row>
    <row r="1598" spans="1:7" x14ac:dyDescent="0.25">
      <c r="A1598" s="22"/>
      <c r="B1598" s="5"/>
      <c r="C1598" s="5"/>
      <c r="D1598" s="23"/>
      <c r="E1598" s="5"/>
      <c r="F1598" s="5"/>
      <c r="G1598" s="31">
        <f>IF($B1598="","",IFERROR(INDEX(Settings!$B$41:$B$55,MATCH($B1598,Settings!$A$41:$A$55,0)),"Check category"))</f>
      </c>
    </row>
    <row r="1599" spans="1:7" x14ac:dyDescent="0.25">
      <c r="A1599" s="22"/>
      <c r="B1599" s="5"/>
      <c r="C1599" s="5"/>
      <c r="D1599" s="23"/>
      <c r="E1599" s="5"/>
      <c r="F1599" s="5"/>
      <c r="G1599" s="31">
        <f>IF($B1599="","",IFERROR(INDEX(Settings!$B$41:$B$55,MATCH($B1599,Settings!$A$41:$A$55,0)),"Check category"))</f>
      </c>
    </row>
    <row r="1600" spans="1:7" x14ac:dyDescent="0.25">
      <c r="A1600" s="22"/>
      <c r="B1600" s="5"/>
      <c r="C1600" s="5"/>
      <c r="D1600" s="23"/>
      <c r="E1600" s="5"/>
      <c r="F1600" s="5"/>
      <c r="G1600" s="31">
        <f>IF($B1600="","",IFERROR(INDEX(Settings!$B$41:$B$55,MATCH($B1600,Settings!$A$41:$A$55,0)),"Check category"))</f>
      </c>
    </row>
    <row r="1601" spans="1:7" x14ac:dyDescent="0.25">
      <c r="A1601" s="22"/>
      <c r="B1601" s="5"/>
      <c r="C1601" s="5"/>
      <c r="D1601" s="23"/>
      <c r="E1601" s="5"/>
      <c r="F1601" s="5"/>
      <c r="G1601" s="31">
        <f>IF($B1601="","",IFERROR(INDEX(Settings!$B$41:$B$55,MATCH($B1601,Settings!$A$41:$A$55,0)),"Check category"))</f>
      </c>
    </row>
    <row r="1602" spans="1:7" x14ac:dyDescent="0.25">
      <c r="A1602" s="22"/>
      <c r="B1602" s="5"/>
      <c r="C1602" s="5"/>
      <c r="D1602" s="23"/>
      <c r="E1602" s="5"/>
      <c r="F1602" s="5"/>
      <c r="G1602" s="31">
        <f>IF($B1602="","",IFERROR(INDEX(Settings!$B$41:$B$55,MATCH($B1602,Settings!$A$41:$A$55,0)),"Check category"))</f>
      </c>
    </row>
    <row r="1603" spans="1:7" x14ac:dyDescent="0.25">
      <c r="A1603" s="22"/>
      <c r="B1603" s="5"/>
      <c r="C1603" s="5"/>
      <c r="D1603" s="23"/>
      <c r="E1603" s="5"/>
      <c r="F1603" s="5"/>
      <c r="G1603" s="31">
        <f>IF($B1603="","",IFERROR(INDEX(Settings!$B$41:$B$55,MATCH($B1603,Settings!$A$41:$A$55,0)),"Check category"))</f>
      </c>
    </row>
    <row r="1604" spans="1:7" x14ac:dyDescent="0.25">
      <c r="A1604" s="22"/>
      <c r="B1604" s="5"/>
      <c r="C1604" s="5"/>
      <c r="D1604" s="23"/>
      <c r="E1604" s="5"/>
      <c r="F1604" s="5"/>
      <c r="G1604" s="31">
        <f>IF($B1604="","",IFERROR(INDEX(Settings!$B$41:$B$55,MATCH($B1604,Settings!$A$41:$A$55,0)),"Check category"))</f>
      </c>
    </row>
    <row r="1605" spans="1:7" x14ac:dyDescent="0.25">
      <c r="A1605" s="22"/>
      <c r="B1605" s="5"/>
      <c r="C1605" s="5"/>
      <c r="D1605" s="23"/>
      <c r="E1605" s="5"/>
      <c r="F1605" s="5"/>
      <c r="G1605" s="31">
        <f>IF($B1605="","",IFERROR(INDEX(Settings!$B$41:$B$55,MATCH($B1605,Settings!$A$41:$A$55,0)),"Check category"))</f>
      </c>
    </row>
    <row r="1606" spans="1:7" x14ac:dyDescent="0.25">
      <c r="A1606" s="22"/>
      <c r="B1606" s="5"/>
      <c r="C1606" s="5"/>
      <c r="D1606" s="23"/>
      <c r="E1606" s="5"/>
      <c r="F1606" s="5"/>
      <c r="G1606" s="31">
        <f>IF($B1606="","",IFERROR(INDEX(Settings!$B$41:$B$55,MATCH($B1606,Settings!$A$41:$A$55,0)),"Check category"))</f>
      </c>
    </row>
    <row r="1607" spans="1:7" x14ac:dyDescent="0.25">
      <c r="A1607" s="22"/>
      <c r="B1607" s="5"/>
      <c r="C1607" s="5"/>
      <c r="D1607" s="23"/>
      <c r="E1607" s="5"/>
      <c r="F1607" s="5"/>
      <c r="G1607" s="31">
        <f>IF($B1607="","",IFERROR(INDEX(Settings!$B$41:$B$55,MATCH($B1607,Settings!$A$41:$A$55,0)),"Check category"))</f>
      </c>
    </row>
    <row r="1608" spans="1:7" x14ac:dyDescent="0.25">
      <c r="A1608" s="22"/>
      <c r="B1608" s="5"/>
      <c r="C1608" s="5"/>
      <c r="D1608" s="23"/>
      <c r="E1608" s="5"/>
      <c r="F1608" s="5"/>
      <c r="G1608" s="31">
        <f>IF($B1608="","",IFERROR(INDEX(Settings!$B$41:$B$55,MATCH($B1608,Settings!$A$41:$A$55,0)),"Check category"))</f>
      </c>
    </row>
    <row r="1609" spans="1:7" x14ac:dyDescent="0.25">
      <c r="A1609" s="22"/>
      <c r="B1609" s="5"/>
      <c r="C1609" s="5"/>
      <c r="D1609" s="23"/>
      <c r="E1609" s="5"/>
      <c r="F1609" s="5"/>
      <c r="G1609" s="31">
        <f>IF($B1609="","",IFERROR(INDEX(Settings!$B$41:$B$55,MATCH($B1609,Settings!$A$41:$A$55,0)),"Check category"))</f>
      </c>
    </row>
    <row r="1610" spans="1:7" x14ac:dyDescent="0.25">
      <c r="A1610" s="22"/>
      <c r="B1610" s="5"/>
      <c r="C1610" s="5"/>
      <c r="D1610" s="23"/>
      <c r="E1610" s="5"/>
      <c r="F1610" s="5"/>
      <c r="G1610" s="31">
        <f>IF($B1610="","",IFERROR(INDEX(Settings!$B$41:$B$55,MATCH($B1610,Settings!$A$41:$A$55,0)),"Check category"))</f>
      </c>
    </row>
    <row r="1611" spans="1:7" x14ac:dyDescent="0.25">
      <c r="A1611" s="22"/>
      <c r="B1611" s="5"/>
      <c r="C1611" s="5"/>
      <c r="D1611" s="23"/>
      <c r="E1611" s="5"/>
      <c r="F1611" s="5"/>
      <c r="G1611" s="31">
        <f>IF($B1611="","",IFERROR(INDEX(Settings!$B$41:$B$55,MATCH($B1611,Settings!$A$41:$A$55,0)),"Check category"))</f>
      </c>
    </row>
    <row r="1612" spans="1:7" x14ac:dyDescent="0.25">
      <c r="A1612" s="22"/>
      <c r="B1612" s="5"/>
      <c r="C1612" s="5"/>
      <c r="D1612" s="23"/>
      <c r="E1612" s="5"/>
      <c r="F1612" s="5"/>
      <c r="G1612" s="31">
        <f>IF($B1612="","",IFERROR(INDEX(Settings!$B$41:$B$55,MATCH($B1612,Settings!$A$41:$A$55,0)),"Check category"))</f>
      </c>
    </row>
    <row r="1613" spans="1:7" x14ac:dyDescent="0.25">
      <c r="A1613" s="22"/>
      <c r="B1613" s="5"/>
      <c r="C1613" s="5"/>
      <c r="D1613" s="23"/>
      <c r="E1613" s="5"/>
      <c r="F1613" s="5"/>
      <c r="G1613" s="31">
        <f>IF($B1613="","",IFERROR(INDEX(Settings!$B$41:$B$55,MATCH($B1613,Settings!$A$41:$A$55,0)),"Check category"))</f>
      </c>
    </row>
    <row r="1614" spans="1:7" x14ac:dyDescent="0.25">
      <c r="A1614" s="22"/>
      <c r="B1614" s="5"/>
      <c r="C1614" s="5"/>
      <c r="D1614" s="23"/>
      <c r="E1614" s="5"/>
      <c r="F1614" s="5"/>
      <c r="G1614" s="31">
        <f>IF($B1614="","",IFERROR(INDEX(Settings!$B$41:$B$55,MATCH($B1614,Settings!$A$41:$A$55,0)),"Check category"))</f>
      </c>
    </row>
    <row r="1615" spans="1:7" x14ac:dyDescent="0.25">
      <c r="A1615" s="22"/>
      <c r="B1615" s="5"/>
      <c r="C1615" s="5"/>
      <c r="D1615" s="23"/>
      <c r="E1615" s="5"/>
      <c r="F1615" s="5"/>
      <c r="G1615" s="31">
        <f>IF($B1615="","",IFERROR(INDEX(Settings!$B$41:$B$55,MATCH($B1615,Settings!$A$41:$A$55,0)),"Check category"))</f>
      </c>
    </row>
    <row r="1616" spans="1:7" x14ac:dyDescent="0.25">
      <c r="A1616" s="22"/>
      <c r="B1616" s="5"/>
      <c r="C1616" s="5"/>
      <c r="D1616" s="23"/>
      <c r="E1616" s="5"/>
      <c r="F1616" s="5"/>
      <c r="G1616" s="31">
        <f>IF($B1616="","",IFERROR(INDEX(Settings!$B$41:$B$55,MATCH($B1616,Settings!$A$41:$A$55,0)),"Check category"))</f>
      </c>
    </row>
    <row r="1617" spans="1:7" x14ac:dyDescent="0.25">
      <c r="A1617" s="22"/>
      <c r="B1617" s="5"/>
      <c r="C1617" s="5"/>
      <c r="D1617" s="23"/>
      <c r="E1617" s="5"/>
      <c r="F1617" s="5"/>
      <c r="G1617" s="31">
        <f>IF($B1617="","",IFERROR(INDEX(Settings!$B$41:$B$55,MATCH($B1617,Settings!$A$41:$A$55,0)),"Check category"))</f>
      </c>
    </row>
    <row r="1618" spans="1:7" x14ac:dyDescent="0.25">
      <c r="A1618" s="22"/>
      <c r="B1618" s="5"/>
      <c r="C1618" s="5"/>
      <c r="D1618" s="23"/>
      <c r="E1618" s="5"/>
      <c r="F1618" s="5"/>
      <c r="G1618" s="31">
        <f>IF($B1618="","",IFERROR(INDEX(Settings!$B$41:$B$55,MATCH($B1618,Settings!$A$41:$A$55,0)),"Check category"))</f>
      </c>
    </row>
    <row r="1619" spans="1:7" x14ac:dyDescent="0.25">
      <c r="A1619" s="22"/>
      <c r="B1619" s="5"/>
      <c r="C1619" s="5"/>
      <c r="D1619" s="23"/>
      <c r="E1619" s="5"/>
      <c r="F1619" s="5"/>
      <c r="G1619" s="31">
        <f>IF($B1619="","",IFERROR(INDEX(Settings!$B$41:$B$55,MATCH($B1619,Settings!$A$41:$A$55,0)),"Check category"))</f>
      </c>
    </row>
    <row r="1620" spans="1:7" x14ac:dyDescent="0.25">
      <c r="A1620" s="22"/>
      <c r="B1620" s="5"/>
      <c r="C1620" s="5"/>
      <c r="D1620" s="23"/>
      <c r="E1620" s="5"/>
      <c r="F1620" s="5"/>
      <c r="G1620" s="31">
        <f>IF($B1620="","",IFERROR(INDEX(Settings!$B$41:$B$55,MATCH($B1620,Settings!$A$41:$A$55,0)),"Check category"))</f>
      </c>
    </row>
    <row r="1621" spans="1:7" x14ac:dyDescent="0.25">
      <c r="A1621" s="22"/>
      <c r="B1621" s="5"/>
      <c r="C1621" s="5"/>
      <c r="D1621" s="23"/>
      <c r="E1621" s="5"/>
      <c r="F1621" s="5"/>
      <c r="G1621" s="31">
        <f>IF($B1621="","",IFERROR(INDEX(Settings!$B$41:$B$55,MATCH($B1621,Settings!$A$41:$A$55,0)),"Check category"))</f>
      </c>
    </row>
    <row r="1622" spans="1:7" x14ac:dyDescent="0.25">
      <c r="A1622" s="22"/>
      <c r="B1622" s="5"/>
      <c r="C1622" s="5"/>
      <c r="D1622" s="23"/>
      <c r="E1622" s="5"/>
      <c r="F1622" s="5"/>
      <c r="G1622" s="31">
        <f>IF($B1622="","",IFERROR(INDEX(Settings!$B$41:$B$55,MATCH($B1622,Settings!$A$41:$A$55,0)),"Check category"))</f>
      </c>
    </row>
    <row r="1623" spans="1:7" x14ac:dyDescent="0.25">
      <c r="A1623" s="22"/>
      <c r="B1623" s="5"/>
      <c r="C1623" s="5"/>
      <c r="D1623" s="23"/>
      <c r="E1623" s="5"/>
      <c r="F1623" s="5"/>
      <c r="G1623" s="31">
        <f>IF($B1623="","",IFERROR(INDEX(Settings!$B$41:$B$55,MATCH($B1623,Settings!$A$41:$A$55,0)),"Check category"))</f>
      </c>
    </row>
    <row r="1624" spans="1:7" x14ac:dyDescent="0.25">
      <c r="A1624" s="22"/>
      <c r="B1624" s="5"/>
      <c r="C1624" s="5"/>
      <c r="D1624" s="23"/>
      <c r="E1624" s="5"/>
      <c r="F1624" s="5"/>
      <c r="G1624" s="31">
        <f>IF($B1624="","",IFERROR(INDEX(Settings!$B$41:$B$55,MATCH($B1624,Settings!$A$41:$A$55,0)),"Check category"))</f>
      </c>
    </row>
    <row r="1625" spans="1:7" x14ac:dyDescent="0.25">
      <c r="A1625" s="22"/>
      <c r="B1625" s="5"/>
      <c r="C1625" s="5"/>
      <c r="D1625" s="23"/>
      <c r="E1625" s="5"/>
      <c r="F1625" s="5"/>
      <c r="G1625" s="31">
        <f>IF($B1625="","",IFERROR(INDEX(Settings!$B$41:$B$55,MATCH($B1625,Settings!$A$41:$A$55,0)),"Check category"))</f>
      </c>
    </row>
    <row r="1626" spans="1:7" x14ac:dyDescent="0.25">
      <c r="A1626" s="22"/>
      <c r="B1626" s="5"/>
      <c r="C1626" s="5"/>
      <c r="D1626" s="23"/>
      <c r="E1626" s="5"/>
      <c r="F1626" s="5"/>
      <c r="G1626" s="31">
        <f>IF($B1626="","",IFERROR(INDEX(Settings!$B$41:$B$55,MATCH($B1626,Settings!$A$41:$A$55,0)),"Check category"))</f>
      </c>
    </row>
    <row r="1627" spans="1:7" x14ac:dyDescent="0.25">
      <c r="A1627" s="22"/>
      <c r="B1627" s="5"/>
      <c r="C1627" s="5"/>
      <c r="D1627" s="23"/>
      <c r="E1627" s="5"/>
      <c r="F1627" s="5"/>
      <c r="G1627" s="31">
        <f>IF($B1627="","",IFERROR(INDEX(Settings!$B$41:$B$55,MATCH($B1627,Settings!$A$41:$A$55,0)),"Check category"))</f>
      </c>
    </row>
    <row r="1628" spans="1:7" x14ac:dyDescent="0.25">
      <c r="A1628" s="22"/>
      <c r="B1628" s="5"/>
      <c r="C1628" s="5"/>
      <c r="D1628" s="23"/>
      <c r="E1628" s="5"/>
      <c r="F1628" s="5"/>
      <c r="G1628" s="31">
        <f>IF($B1628="","",IFERROR(INDEX(Settings!$B$41:$B$55,MATCH($B1628,Settings!$A$41:$A$55,0)),"Check category"))</f>
      </c>
    </row>
    <row r="1629" spans="1:7" x14ac:dyDescent="0.25">
      <c r="A1629" s="22"/>
      <c r="B1629" s="5"/>
      <c r="C1629" s="5"/>
      <c r="D1629" s="23"/>
      <c r="E1629" s="5"/>
      <c r="F1629" s="5"/>
      <c r="G1629" s="31">
        <f>IF($B1629="","",IFERROR(INDEX(Settings!$B$41:$B$55,MATCH($B1629,Settings!$A$41:$A$55,0)),"Check category"))</f>
      </c>
    </row>
    <row r="1630" spans="1:7" x14ac:dyDescent="0.25">
      <c r="A1630" s="22"/>
      <c r="B1630" s="5"/>
      <c r="C1630" s="5"/>
      <c r="D1630" s="23"/>
      <c r="E1630" s="5"/>
      <c r="F1630" s="5"/>
      <c r="G1630" s="31">
        <f>IF($B1630="","",IFERROR(INDEX(Settings!$B$41:$B$55,MATCH($B1630,Settings!$A$41:$A$55,0)),"Check category"))</f>
      </c>
    </row>
    <row r="1631" spans="1:7" x14ac:dyDescent="0.25">
      <c r="A1631" s="22"/>
      <c r="B1631" s="5"/>
      <c r="C1631" s="5"/>
      <c r="D1631" s="23"/>
      <c r="E1631" s="5"/>
      <c r="F1631" s="5"/>
      <c r="G1631" s="31">
        <f>IF($B1631="","",IFERROR(INDEX(Settings!$B$41:$B$55,MATCH($B1631,Settings!$A$41:$A$55,0)),"Check category"))</f>
      </c>
    </row>
    <row r="1632" spans="1:7" x14ac:dyDescent="0.25">
      <c r="A1632" s="22"/>
      <c r="B1632" s="5"/>
      <c r="C1632" s="5"/>
      <c r="D1632" s="23"/>
      <c r="E1632" s="5"/>
      <c r="F1632" s="5"/>
      <c r="G1632" s="31">
        <f>IF($B1632="","",IFERROR(INDEX(Settings!$B$41:$B$55,MATCH($B1632,Settings!$A$41:$A$55,0)),"Check category"))</f>
      </c>
    </row>
    <row r="1633" spans="1:7" x14ac:dyDescent="0.25">
      <c r="A1633" s="22"/>
      <c r="B1633" s="5"/>
      <c r="C1633" s="5"/>
      <c r="D1633" s="23"/>
      <c r="E1633" s="5"/>
      <c r="F1633" s="5"/>
      <c r="G1633" s="31">
        <f>IF($B1633="","",IFERROR(INDEX(Settings!$B$41:$B$55,MATCH($B1633,Settings!$A$41:$A$55,0)),"Check category"))</f>
      </c>
    </row>
    <row r="1634" spans="1:7" x14ac:dyDescent="0.25">
      <c r="A1634" s="22"/>
      <c r="B1634" s="5"/>
      <c r="C1634" s="5"/>
      <c r="D1634" s="23"/>
      <c r="E1634" s="5"/>
      <c r="F1634" s="5"/>
      <c r="G1634" s="31">
        <f>IF($B1634="","",IFERROR(INDEX(Settings!$B$41:$B$55,MATCH($B1634,Settings!$A$41:$A$55,0)),"Check category"))</f>
      </c>
    </row>
    <row r="1635" spans="1:7" x14ac:dyDescent="0.25">
      <c r="A1635" s="22"/>
      <c r="B1635" s="5"/>
      <c r="C1635" s="5"/>
      <c r="D1635" s="23"/>
      <c r="E1635" s="5"/>
      <c r="F1635" s="5"/>
      <c r="G1635" s="31">
        <f>IF($B1635="","",IFERROR(INDEX(Settings!$B$41:$B$55,MATCH($B1635,Settings!$A$41:$A$55,0)),"Check category"))</f>
      </c>
    </row>
    <row r="1636" spans="1:7" x14ac:dyDescent="0.25">
      <c r="A1636" s="22"/>
      <c r="B1636" s="5"/>
      <c r="C1636" s="5"/>
      <c r="D1636" s="23"/>
      <c r="E1636" s="5"/>
      <c r="F1636" s="5"/>
      <c r="G1636" s="31">
        <f>IF($B1636="","",IFERROR(INDEX(Settings!$B$41:$B$55,MATCH($B1636,Settings!$A$41:$A$55,0)),"Check category"))</f>
      </c>
    </row>
    <row r="1637" spans="1:7" x14ac:dyDescent="0.25">
      <c r="A1637" s="22"/>
      <c r="B1637" s="5"/>
      <c r="C1637" s="5"/>
      <c r="D1637" s="23"/>
      <c r="E1637" s="5"/>
      <c r="F1637" s="5"/>
      <c r="G1637" s="31">
        <f>IF($B1637="","",IFERROR(INDEX(Settings!$B$41:$B$55,MATCH($B1637,Settings!$A$41:$A$55,0)),"Check category"))</f>
      </c>
    </row>
    <row r="1638" spans="1:7" x14ac:dyDescent="0.25">
      <c r="A1638" s="22"/>
      <c r="B1638" s="5"/>
      <c r="C1638" s="5"/>
      <c r="D1638" s="23"/>
      <c r="E1638" s="5"/>
      <c r="F1638" s="5"/>
      <c r="G1638" s="31">
        <f>IF($B1638="","",IFERROR(INDEX(Settings!$B$41:$B$55,MATCH($B1638,Settings!$A$41:$A$55,0)),"Check category"))</f>
      </c>
    </row>
    <row r="1639" spans="1:7" x14ac:dyDescent="0.25">
      <c r="A1639" s="22"/>
      <c r="B1639" s="5"/>
      <c r="C1639" s="5"/>
      <c r="D1639" s="23"/>
      <c r="E1639" s="5"/>
      <c r="F1639" s="5"/>
      <c r="G1639" s="31">
        <f>IF($B1639="","",IFERROR(INDEX(Settings!$B$41:$B$55,MATCH($B1639,Settings!$A$41:$A$55,0)),"Check category"))</f>
      </c>
    </row>
    <row r="1640" spans="1:7" x14ac:dyDescent="0.25">
      <c r="A1640" s="22"/>
      <c r="B1640" s="5"/>
      <c r="C1640" s="5"/>
      <c r="D1640" s="23"/>
      <c r="E1640" s="5"/>
      <c r="F1640" s="5"/>
      <c r="G1640" s="31">
        <f>IF($B1640="","",IFERROR(INDEX(Settings!$B$41:$B$55,MATCH($B1640,Settings!$A$41:$A$55,0)),"Check category"))</f>
      </c>
    </row>
    <row r="1641" spans="1:7" x14ac:dyDescent="0.25">
      <c r="A1641" s="22"/>
      <c r="B1641" s="5"/>
      <c r="C1641" s="5"/>
      <c r="D1641" s="23"/>
      <c r="E1641" s="5"/>
      <c r="F1641" s="5"/>
      <c r="G1641" s="31">
        <f>IF($B1641="","",IFERROR(INDEX(Settings!$B$41:$B$55,MATCH($B1641,Settings!$A$41:$A$55,0)),"Check category"))</f>
      </c>
    </row>
    <row r="1642" spans="1:7" x14ac:dyDescent="0.25">
      <c r="A1642" s="22"/>
      <c r="B1642" s="5"/>
      <c r="C1642" s="5"/>
      <c r="D1642" s="23"/>
      <c r="E1642" s="5"/>
      <c r="F1642" s="5"/>
      <c r="G1642" s="31">
        <f>IF($B1642="","",IFERROR(INDEX(Settings!$B$41:$B$55,MATCH($B1642,Settings!$A$41:$A$55,0)),"Check category"))</f>
      </c>
    </row>
    <row r="1643" spans="1:7" x14ac:dyDescent="0.25">
      <c r="A1643" s="22"/>
      <c r="B1643" s="5"/>
      <c r="C1643" s="5"/>
      <c r="D1643" s="23"/>
      <c r="E1643" s="5"/>
      <c r="F1643" s="5"/>
      <c r="G1643" s="31">
        <f>IF($B1643="","",IFERROR(INDEX(Settings!$B$41:$B$55,MATCH($B1643,Settings!$A$41:$A$55,0)),"Check category"))</f>
      </c>
    </row>
    <row r="1644" spans="1:7" x14ac:dyDescent="0.25">
      <c r="A1644" s="22"/>
      <c r="B1644" s="5"/>
      <c r="C1644" s="5"/>
      <c r="D1644" s="23"/>
      <c r="E1644" s="5"/>
      <c r="F1644" s="5"/>
      <c r="G1644" s="31">
        <f>IF($B1644="","",IFERROR(INDEX(Settings!$B$41:$B$55,MATCH($B1644,Settings!$A$41:$A$55,0)),"Check category"))</f>
      </c>
    </row>
    <row r="1645" spans="1:7" x14ac:dyDescent="0.25">
      <c r="A1645" s="22"/>
      <c r="B1645" s="5"/>
      <c r="C1645" s="5"/>
      <c r="D1645" s="23"/>
      <c r="E1645" s="5"/>
      <c r="F1645" s="5"/>
      <c r="G1645" s="31">
        <f>IF($B1645="","",IFERROR(INDEX(Settings!$B$41:$B$55,MATCH($B1645,Settings!$A$41:$A$55,0)),"Check category"))</f>
      </c>
    </row>
    <row r="1646" spans="1:7" x14ac:dyDescent="0.25">
      <c r="A1646" s="22"/>
      <c r="B1646" s="5"/>
      <c r="C1646" s="5"/>
      <c r="D1646" s="23"/>
      <c r="E1646" s="5"/>
      <c r="F1646" s="5"/>
      <c r="G1646" s="31">
        <f>IF($B1646="","",IFERROR(INDEX(Settings!$B$41:$B$55,MATCH($B1646,Settings!$A$41:$A$55,0)),"Check category"))</f>
      </c>
    </row>
    <row r="1647" spans="1:7" x14ac:dyDescent="0.25">
      <c r="A1647" s="22"/>
      <c r="B1647" s="5"/>
      <c r="C1647" s="5"/>
      <c r="D1647" s="23"/>
      <c r="E1647" s="5"/>
      <c r="F1647" s="5"/>
      <c r="G1647" s="31">
        <f>IF($B1647="","",IFERROR(INDEX(Settings!$B$41:$B$55,MATCH($B1647,Settings!$A$41:$A$55,0)),"Check category"))</f>
      </c>
    </row>
    <row r="1648" spans="1:7" x14ac:dyDescent="0.25">
      <c r="A1648" s="22"/>
      <c r="B1648" s="5"/>
      <c r="C1648" s="5"/>
      <c r="D1648" s="23"/>
      <c r="E1648" s="5"/>
      <c r="F1648" s="5"/>
      <c r="G1648" s="31">
        <f>IF($B1648="","",IFERROR(INDEX(Settings!$B$41:$B$55,MATCH($B1648,Settings!$A$41:$A$55,0)),"Check category"))</f>
      </c>
    </row>
    <row r="1649" spans="1:7" x14ac:dyDescent="0.25">
      <c r="A1649" s="22"/>
      <c r="B1649" s="5"/>
      <c r="C1649" s="5"/>
      <c r="D1649" s="23"/>
      <c r="E1649" s="5"/>
      <c r="F1649" s="5"/>
      <c r="G1649" s="31">
        <f>IF($B1649="","",IFERROR(INDEX(Settings!$B$41:$B$55,MATCH($B1649,Settings!$A$41:$A$55,0)),"Check category"))</f>
      </c>
    </row>
    <row r="1650" spans="1:7" x14ac:dyDescent="0.25">
      <c r="A1650" s="22"/>
      <c r="B1650" s="5"/>
      <c r="C1650" s="5"/>
      <c r="D1650" s="23"/>
      <c r="E1650" s="5"/>
      <c r="F1650" s="5"/>
      <c r="G1650" s="31">
        <f>IF($B1650="","",IFERROR(INDEX(Settings!$B$41:$B$55,MATCH($B1650,Settings!$A$41:$A$55,0)),"Check category"))</f>
      </c>
    </row>
    <row r="1651" spans="1:7" x14ac:dyDescent="0.25">
      <c r="A1651" s="22"/>
      <c r="B1651" s="5"/>
      <c r="C1651" s="5"/>
      <c r="D1651" s="23"/>
      <c r="E1651" s="5"/>
      <c r="F1651" s="5"/>
      <c r="G1651" s="31">
        <f>IF($B1651="","",IFERROR(INDEX(Settings!$B$41:$B$55,MATCH($B1651,Settings!$A$41:$A$55,0)),"Check category"))</f>
      </c>
    </row>
    <row r="1652" spans="1:7" x14ac:dyDescent="0.25">
      <c r="A1652" s="22"/>
      <c r="B1652" s="5"/>
      <c r="C1652" s="5"/>
      <c r="D1652" s="23"/>
      <c r="E1652" s="5"/>
      <c r="F1652" s="5"/>
      <c r="G1652" s="31">
        <f>IF($B1652="","",IFERROR(INDEX(Settings!$B$41:$B$55,MATCH($B1652,Settings!$A$41:$A$55,0)),"Check category"))</f>
      </c>
    </row>
    <row r="1653" spans="1:7" x14ac:dyDescent="0.25">
      <c r="A1653" s="22"/>
      <c r="B1653" s="5"/>
      <c r="C1653" s="5"/>
      <c r="D1653" s="23"/>
      <c r="E1653" s="5"/>
      <c r="F1653" s="5"/>
      <c r="G1653" s="31">
        <f>IF($B1653="","",IFERROR(INDEX(Settings!$B$41:$B$55,MATCH($B1653,Settings!$A$41:$A$55,0)),"Check category"))</f>
      </c>
    </row>
    <row r="1654" spans="1:7" x14ac:dyDescent="0.25">
      <c r="A1654" s="22"/>
      <c r="B1654" s="5"/>
      <c r="C1654" s="5"/>
      <c r="D1654" s="23"/>
      <c r="E1654" s="5"/>
      <c r="F1654" s="5"/>
      <c r="G1654" s="31">
        <f>IF($B1654="","",IFERROR(INDEX(Settings!$B$41:$B$55,MATCH($B1654,Settings!$A$41:$A$55,0)),"Check category"))</f>
      </c>
    </row>
    <row r="1655" spans="1:7" x14ac:dyDescent="0.25">
      <c r="A1655" s="22"/>
      <c r="B1655" s="5"/>
      <c r="C1655" s="5"/>
      <c r="D1655" s="23"/>
      <c r="E1655" s="5"/>
      <c r="F1655" s="5"/>
      <c r="G1655" s="31">
        <f>IF($B1655="","",IFERROR(INDEX(Settings!$B$41:$B$55,MATCH($B1655,Settings!$A$41:$A$55,0)),"Check category"))</f>
      </c>
    </row>
    <row r="1656" spans="1:7" x14ac:dyDescent="0.25">
      <c r="A1656" s="22"/>
      <c r="B1656" s="5"/>
      <c r="C1656" s="5"/>
      <c r="D1656" s="23"/>
      <c r="E1656" s="5"/>
      <c r="F1656" s="5"/>
      <c r="G1656" s="31">
        <f>IF($B1656="","",IFERROR(INDEX(Settings!$B$41:$B$55,MATCH($B1656,Settings!$A$41:$A$55,0)),"Check category"))</f>
      </c>
    </row>
    <row r="1657" spans="1:7" x14ac:dyDescent="0.25">
      <c r="A1657" s="22"/>
      <c r="B1657" s="5"/>
      <c r="C1657" s="5"/>
      <c r="D1657" s="23"/>
      <c r="E1657" s="5"/>
      <c r="F1657" s="5"/>
      <c r="G1657" s="31">
        <f>IF($B1657="","",IFERROR(INDEX(Settings!$B$41:$B$55,MATCH($B1657,Settings!$A$41:$A$55,0)),"Check category"))</f>
      </c>
    </row>
    <row r="1658" spans="1:7" x14ac:dyDescent="0.25">
      <c r="A1658" s="22"/>
      <c r="B1658" s="5"/>
      <c r="C1658" s="5"/>
      <c r="D1658" s="23"/>
      <c r="E1658" s="5"/>
      <c r="F1658" s="5"/>
      <c r="G1658" s="31">
        <f>IF($B1658="","",IFERROR(INDEX(Settings!$B$41:$B$55,MATCH($B1658,Settings!$A$41:$A$55,0)),"Check category"))</f>
      </c>
    </row>
    <row r="1659" spans="1:7" x14ac:dyDescent="0.25">
      <c r="A1659" s="22"/>
      <c r="B1659" s="5"/>
      <c r="C1659" s="5"/>
      <c r="D1659" s="23"/>
      <c r="E1659" s="5"/>
      <c r="F1659" s="5"/>
      <c r="G1659" s="31">
        <f>IF($B1659="","",IFERROR(INDEX(Settings!$B$41:$B$55,MATCH($B1659,Settings!$A$41:$A$55,0)),"Check category"))</f>
      </c>
    </row>
    <row r="1660" spans="1:7" x14ac:dyDescent="0.25">
      <c r="A1660" s="22"/>
      <c r="B1660" s="5"/>
      <c r="C1660" s="5"/>
      <c r="D1660" s="23"/>
      <c r="E1660" s="5"/>
      <c r="F1660" s="5"/>
      <c r="G1660" s="31">
        <f>IF($B1660="","",IFERROR(INDEX(Settings!$B$41:$B$55,MATCH($B1660,Settings!$A$41:$A$55,0)),"Check category"))</f>
      </c>
    </row>
    <row r="1661" spans="1:7" x14ac:dyDescent="0.25">
      <c r="A1661" s="22"/>
      <c r="B1661" s="5"/>
      <c r="C1661" s="5"/>
      <c r="D1661" s="23"/>
      <c r="E1661" s="5"/>
      <c r="F1661" s="5"/>
      <c r="G1661" s="31">
        <f>IF($B1661="","",IFERROR(INDEX(Settings!$B$41:$B$55,MATCH($B1661,Settings!$A$41:$A$55,0)),"Check category"))</f>
      </c>
    </row>
    <row r="1662" spans="1:7" x14ac:dyDescent="0.25">
      <c r="A1662" s="22"/>
      <c r="B1662" s="5"/>
      <c r="C1662" s="5"/>
      <c r="D1662" s="23"/>
      <c r="E1662" s="5"/>
      <c r="F1662" s="5"/>
      <c r="G1662" s="31">
        <f>IF($B1662="","",IFERROR(INDEX(Settings!$B$41:$B$55,MATCH($B1662,Settings!$A$41:$A$55,0)),"Check category"))</f>
      </c>
    </row>
    <row r="1663" spans="1:7" x14ac:dyDescent="0.25">
      <c r="A1663" s="22"/>
      <c r="B1663" s="5"/>
      <c r="C1663" s="5"/>
      <c r="D1663" s="23"/>
      <c r="E1663" s="5"/>
      <c r="F1663" s="5"/>
      <c r="G1663" s="31">
        <f>IF($B1663="","",IFERROR(INDEX(Settings!$B$41:$B$55,MATCH($B1663,Settings!$A$41:$A$55,0)),"Check category"))</f>
      </c>
    </row>
    <row r="1664" spans="1:7" x14ac:dyDescent="0.25">
      <c r="A1664" s="22"/>
      <c r="B1664" s="5"/>
      <c r="C1664" s="5"/>
      <c r="D1664" s="23"/>
      <c r="E1664" s="5"/>
      <c r="F1664" s="5"/>
      <c r="G1664" s="31">
        <f>IF($B1664="","",IFERROR(INDEX(Settings!$B$41:$B$55,MATCH($B1664,Settings!$A$41:$A$55,0)),"Check category"))</f>
      </c>
    </row>
    <row r="1665" spans="1:7" x14ac:dyDescent="0.25">
      <c r="A1665" s="22"/>
      <c r="B1665" s="5"/>
      <c r="C1665" s="5"/>
      <c r="D1665" s="23"/>
      <c r="E1665" s="5"/>
      <c r="F1665" s="5"/>
      <c r="G1665" s="31">
        <f>IF($B1665="","",IFERROR(INDEX(Settings!$B$41:$B$55,MATCH($B1665,Settings!$A$41:$A$55,0)),"Check category"))</f>
      </c>
    </row>
    <row r="1666" spans="1:7" x14ac:dyDescent="0.25">
      <c r="A1666" s="22"/>
      <c r="B1666" s="5"/>
      <c r="C1666" s="5"/>
      <c r="D1666" s="23"/>
      <c r="E1666" s="5"/>
      <c r="F1666" s="5"/>
      <c r="G1666" s="31">
        <f>IF($B1666="","",IFERROR(INDEX(Settings!$B$41:$B$55,MATCH($B1666,Settings!$A$41:$A$55,0)),"Check category"))</f>
      </c>
    </row>
    <row r="1667" spans="1:7" x14ac:dyDescent="0.25">
      <c r="A1667" s="22"/>
      <c r="B1667" s="5"/>
      <c r="C1667" s="5"/>
      <c r="D1667" s="23"/>
      <c r="E1667" s="5"/>
      <c r="F1667" s="5"/>
      <c r="G1667" s="31">
        <f>IF($B1667="","",IFERROR(INDEX(Settings!$B$41:$B$55,MATCH($B1667,Settings!$A$41:$A$55,0)),"Check category"))</f>
      </c>
    </row>
    <row r="1668" spans="1:7" x14ac:dyDescent="0.25">
      <c r="A1668" s="22"/>
      <c r="B1668" s="5"/>
      <c r="C1668" s="5"/>
      <c r="D1668" s="23"/>
      <c r="E1668" s="5"/>
      <c r="F1668" s="5"/>
      <c r="G1668" s="31">
        <f>IF($B1668="","",IFERROR(INDEX(Settings!$B$41:$B$55,MATCH($B1668,Settings!$A$41:$A$55,0)),"Check category"))</f>
      </c>
    </row>
    <row r="1669" spans="1:7" x14ac:dyDescent="0.25">
      <c r="A1669" s="22"/>
      <c r="B1669" s="5"/>
      <c r="C1669" s="5"/>
      <c r="D1669" s="23"/>
      <c r="E1669" s="5"/>
      <c r="F1669" s="5"/>
      <c r="G1669" s="31">
        <f>IF($B1669="","",IFERROR(INDEX(Settings!$B$41:$B$55,MATCH($B1669,Settings!$A$41:$A$55,0)),"Check category"))</f>
      </c>
    </row>
    <row r="1670" spans="1:7" x14ac:dyDescent="0.25">
      <c r="A1670" s="22"/>
      <c r="B1670" s="5"/>
      <c r="C1670" s="5"/>
      <c r="D1670" s="23"/>
      <c r="E1670" s="5"/>
      <c r="F1670" s="5"/>
      <c r="G1670" s="31">
        <f>IF($B1670="","",IFERROR(INDEX(Settings!$B$41:$B$55,MATCH($B1670,Settings!$A$41:$A$55,0)),"Check category"))</f>
      </c>
    </row>
    <row r="1671" spans="1:7" x14ac:dyDescent="0.25">
      <c r="A1671" s="22"/>
      <c r="B1671" s="5"/>
      <c r="C1671" s="5"/>
      <c r="D1671" s="23"/>
      <c r="E1671" s="5"/>
      <c r="F1671" s="5"/>
      <c r="G1671" s="31">
        <f>IF($B1671="","",IFERROR(INDEX(Settings!$B$41:$B$55,MATCH($B1671,Settings!$A$41:$A$55,0)),"Check category"))</f>
      </c>
    </row>
    <row r="1672" spans="1:7" x14ac:dyDescent="0.25">
      <c r="A1672" s="22"/>
      <c r="B1672" s="5"/>
      <c r="C1672" s="5"/>
      <c r="D1672" s="23"/>
      <c r="E1672" s="5"/>
      <c r="F1672" s="5"/>
      <c r="G1672" s="31">
        <f>IF($B1672="","",IFERROR(INDEX(Settings!$B$41:$B$55,MATCH($B1672,Settings!$A$41:$A$55,0)),"Check category"))</f>
      </c>
    </row>
    <row r="1673" spans="1:7" x14ac:dyDescent="0.25">
      <c r="A1673" s="22"/>
      <c r="B1673" s="5"/>
      <c r="C1673" s="5"/>
      <c r="D1673" s="23"/>
      <c r="E1673" s="5"/>
      <c r="F1673" s="5"/>
      <c r="G1673" s="31">
        <f>IF($B1673="","",IFERROR(INDEX(Settings!$B$41:$B$55,MATCH($B1673,Settings!$A$41:$A$55,0)),"Check category"))</f>
      </c>
    </row>
    <row r="1674" spans="1:7" x14ac:dyDescent="0.25">
      <c r="A1674" s="22"/>
      <c r="B1674" s="5"/>
      <c r="C1674" s="5"/>
      <c r="D1674" s="23"/>
      <c r="E1674" s="5"/>
      <c r="F1674" s="5"/>
      <c r="G1674" s="31">
        <f>IF($B1674="","",IFERROR(INDEX(Settings!$B$41:$B$55,MATCH($B1674,Settings!$A$41:$A$55,0)),"Check category"))</f>
      </c>
    </row>
    <row r="1675" spans="1:7" x14ac:dyDescent="0.25">
      <c r="A1675" s="22"/>
      <c r="B1675" s="5"/>
      <c r="C1675" s="5"/>
      <c r="D1675" s="23"/>
      <c r="E1675" s="5"/>
      <c r="F1675" s="5"/>
      <c r="G1675" s="31">
        <f>IF($B1675="","",IFERROR(INDEX(Settings!$B$41:$B$55,MATCH($B1675,Settings!$A$41:$A$55,0)),"Check category"))</f>
      </c>
    </row>
    <row r="1676" spans="1:7" x14ac:dyDescent="0.25">
      <c r="A1676" s="22"/>
      <c r="B1676" s="5"/>
      <c r="C1676" s="5"/>
      <c r="D1676" s="23"/>
      <c r="E1676" s="5"/>
      <c r="F1676" s="5"/>
      <c r="G1676" s="31">
        <f>IF($B1676="","",IFERROR(INDEX(Settings!$B$41:$B$55,MATCH($B1676,Settings!$A$41:$A$55,0)),"Check category"))</f>
      </c>
    </row>
    <row r="1677" spans="1:7" x14ac:dyDescent="0.25">
      <c r="A1677" s="22"/>
      <c r="B1677" s="5"/>
      <c r="C1677" s="5"/>
      <c r="D1677" s="23"/>
      <c r="E1677" s="5"/>
      <c r="F1677" s="5"/>
      <c r="G1677" s="31">
        <f>IF($B1677="","",IFERROR(INDEX(Settings!$B$41:$B$55,MATCH($B1677,Settings!$A$41:$A$55,0)),"Check category"))</f>
      </c>
    </row>
    <row r="1678" spans="1:7" x14ac:dyDescent="0.25">
      <c r="A1678" s="22"/>
      <c r="B1678" s="5"/>
      <c r="C1678" s="5"/>
      <c r="D1678" s="23"/>
      <c r="E1678" s="5"/>
      <c r="F1678" s="5"/>
      <c r="G1678" s="31">
        <f>IF($B1678="","",IFERROR(INDEX(Settings!$B$41:$B$55,MATCH($B1678,Settings!$A$41:$A$55,0)),"Check category"))</f>
      </c>
    </row>
    <row r="1679" spans="1:7" x14ac:dyDescent="0.25">
      <c r="A1679" s="22"/>
      <c r="B1679" s="5"/>
      <c r="C1679" s="5"/>
      <c r="D1679" s="23"/>
      <c r="E1679" s="5"/>
      <c r="F1679" s="5"/>
      <c r="G1679" s="31">
        <f>IF($B1679="","",IFERROR(INDEX(Settings!$B$41:$B$55,MATCH($B1679,Settings!$A$41:$A$55,0)),"Check category"))</f>
      </c>
    </row>
    <row r="1680" spans="1:7" x14ac:dyDescent="0.25">
      <c r="A1680" s="22"/>
      <c r="B1680" s="5"/>
      <c r="C1680" s="5"/>
      <c r="D1680" s="23"/>
      <c r="E1680" s="5"/>
      <c r="F1680" s="5"/>
      <c r="G1680" s="31">
        <f>IF($B1680="","",IFERROR(INDEX(Settings!$B$41:$B$55,MATCH($B1680,Settings!$A$41:$A$55,0)),"Check category"))</f>
      </c>
    </row>
    <row r="1681" spans="1:7" x14ac:dyDescent="0.25">
      <c r="A1681" s="22"/>
      <c r="B1681" s="5"/>
      <c r="C1681" s="5"/>
      <c r="D1681" s="23"/>
      <c r="E1681" s="5"/>
      <c r="F1681" s="5"/>
      <c r="G1681" s="31">
        <f>IF($B1681="","",IFERROR(INDEX(Settings!$B$41:$B$55,MATCH($B1681,Settings!$A$41:$A$55,0)),"Check category"))</f>
      </c>
    </row>
    <row r="1682" spans="1:7" x14ac:dyDescent="0.25">
      <c r="A1682" s="22"/>
      <c r="B1682" s="5"/>
      <c r="C1682" s="5"/>
      <c r="D1682" s="23"/>
      <c r="E1682" s="5"/>
      <c r="F1682" s="5"/>
      <c r="G1682" s="31">
        <f>IF($B1682="","",IFERROR(INDEX(Settings!$B$41:$B$55,MATCH($B1682,Settings!$A$41:$A$55,0)),"Check category"))</f>
      </c>
    </row>
    <row r="1683" spans="1:7" x14ac:dyDescent="0.25">
      <c r="A1683" s="22"/>
      <c r="B1683" s="5"/>
      <c r="C1683" s="5"/>
      <c r="D1683" s="23"/>
      <c r="E1683" s="5"/>
      <c r="F1683" s="5"/>
      <c r="G1683" s="31">
        <f>IF($B1683="","",IFERROR(INDEX(Settings!$B$41:$B$55,MATCH($B1683,Settings!$A$41:$A$55,0)),"Check category"))</f>
      </c>
    </row>
    <row r="1684" spans="1:7" x14ac:dyDescent="0.25">
      <c r="A1684" s="22"/>
      <c r="B1684" s="5"/>
      <c r="C1684" s="5"/>
      <c r="D1684" s="23"/>
      <c r="E1684" s="5"/>
      <c r="F1684" s="5"/>
      <c r="G1684" s="31">
        <f>IF($B1684="","",IFERROR(INDEX(Settings!$B$41:$B$55,MATCH($B1684,Settings!$A$41:$A$55,0)),"Check category"))</f>
      </c>
    </row>
    <row r="1685" spans="1:7" x14ac:dyDescent="0.25">
      <c r="A1685" s="22"/>
      <c r="B1685" s="5"/>
      <c r="C1685" s="5"/>
      <c r="D1685" s="23"/>
      <c r="E1685" s="5"/>
      <c r="F1685" s="5"/>
      <c r="G1685" s="31">
        <f>IF($B1685="","",IFERROR(INDEX(Settings!$B$41:$B$55,MATCH($B1685,Settings!$A$41:$A$55,0)),"Check category"))</f>
      </c>
    </row>
    <row r="1686" spans="1:7" x14ac:dyDescent="0.25">
      <c r="A1686" s="22"/>
      <c r="B1686" s="5"/>
      <c r="C1686" s="5"/>
      <c r="D1686" s="23"/>
      <c r="E1686" s="5"/>
      <c r="F1686" s="5"/>
      <c r="G1686" s="31">
        <f>IF($B1686="","",IFERROR(INDEX(Settings!$B$41:$B$55,MATCH($B1686,Settings!$A$41:$A$55,0)),"Check category"))</f>
      </c>
    </row>
    <row r="1687" spans="1:7" x14ac:dyDescent="0.25">
      <c r="A1687" s="22"/>
      <c r="B1687" s="5"/>
      <c r="C1687" s="5"/>
      <c r="D1687" s="23"/>
      <c r="E1687" s="5"/>
      <c r="F1687" s="5"/>
      <c r="G1687" s="31">
        <f>IF($B1687="","",IFERROR(INDEX(Settings!$B$41:$B$55,MATCH($B1687,Settings!$A$41:$A$55,0)),"Check category"))</f>
      </c>
    </row>
    <row r="1688" spans="1:7" x14ac:dyDescent="0.25">
      <c r="A1688" s="22"/>
      <c r="B1688" s="5"/>
      <c r="C1688" s="5"/>
      <c r="D1688" s="23"/>
      <c r="E1688" s="5"/>
      <c r="F1688" s="5"/>
      <c r="G1688" s="31">
        <f>IF($B1688="","",IFERROR(INDEX(Settings!$B$41:$B$55,MATCH($B1688,Settings!$A$41:$A$55,0)),"Check category"))</f>
      </c>
    </row>
    <row r="1689" spans="1:7" x14ac:dyDescent="0.25">
      <c r="A1689" s="22"/>
      <c r="B1689" s="5"/>
      <c r="C1689" s="5"/>
      <c r="D1689" s="23"/>
      <c r="E1689" s="5"/>
      <c r="F1689" s="5"/>
      <c r="G1689" s="31">
        <f>IF($B1689="","",IFERROR(INDEX(Settings!$B$41:$B$55,MATCH($B1689,Settings!$A$41:$A$55,0)),"Check category"))</f>
      </c>
    </row>
    <row r="1690" spans="1:7" x14ac:dyDescent="0.25">
      <c r="A1690" s="22"/>
      <c r="B1690" s="5"/>
      <c r="C1690" s="5"/>
      <c r="D1690" s="23"/>
      <c r="E1690" s="5"/>
      <c r="F1690" s="5"/>
      <c r="G1690" s="31">
        <f>IF($B1690="","",IFERROR(INDEX(Settings!$B$41:$B$55,MATCH($B1690,Settings!$A$41:$A$55,0)),"Check category"))</f>
      </c>
    </row>
    <row r="1691" spans="1:7" x14ac:dyDescent="0.25">
      <c r="A1691" s="22"/>
      <c r="B1691" s="5"/>
      <c r="C1691" s="5"/>
      <c r="D1691" s="23"/>
      <c r="E1691" s="5"/>
      <c r="F1691" s="5"/>
      <c r="G1691" s="31">
        <f>IF($B1691="","",IFERROR(INDEX(Settings!$B$41:$B$55,MATCH($B1691,Settings!$A$41:$A$55,0)),"Check category"))</f>
      </c>
    </row>
    <row r="1692" spans="1:7" x14ac:dyDescent="0.25">
      <c r="A1692" s="22"/>
      <c r="B1692" s="5"/>
      <c r="C1692" s="5"/>
      <c r="D1692" s="23"/>
      <c r="E1692" s="5"/>
      <c r="F1692" s="5"/>
      <c r="G1692" s="31">
        <f>IF($B1692="","",IFERROR(INDEX(Settings!$B$41:$B$55,MATCH($B1692,Settings!$A$41:$A$55,0)),"Check category"))</f>
      </c>
    </row>
    <row r="1693" spans="1:7" x14ac:dyDescent="0.25">
      <c r="A1693" s="22"/>
      <c r="B1693" s="5"/>
      <c r="C1693" s="5"/>
      <c r="D1693" s="23"/>
      <c r="E1693" s="5"/>
      <c r="F1693" s="5"/>
      <c r="G1693" s="31">
        <f>IF($B1693="","",IFERROR(INDEX(Settings!$B$41:$B$55,MATCH($B1693,Settings!$A$41:$A$55,0)),"Check category"))</f>
      </c>
    </row>
    <row r="1694" spans="1:7" x14ac:dyDescent="0.25">
      <c r="A1694" s="22"/>
      <c r="B1694" s="5"/>
      <c r="C1694" s="5"/>
      <c r="D1694" s="23"/>
      <c r="E1694" s="5"/>
      <c r="F1694" s="5"/>
      <c r="G1694" s="31">
        <f>IF($B1694="","",IFERROR(INDEX(Settings!$B$41:$B$55,MATCH($B1694,Settings!$A$41:$A$55,0)),"Check category"))</f>
      </c>
    </row>
    <row r="1695" spans="1:7" x14ac:dyDescent="0.25">
      <c r="A1695" s="22"/>
      <c r="B1695" s="5"/>
      <c r="C1695" s="5"/>
      <c r="D1695" s="23"/>
      <c r="E1695" s="5"/>
      <c r="F1695" s="5"/>
      <c r="G1695" s="31">
        <f>IF($B1695="","",IFERROR(INDEX(Settings!$B$41:$B$55,MATCH($B1695,Settings!$A$41:$A$55,0)),"Check category"))</f>
      </c>
    </row>
    <row r="1696" spans="1:7" x14ac:dyDescent="0.25">
      <c r="A1696" s="22"/>
      <c r="B1696" s="5"/>
      <c r="C1696" s="5"/>
      <c r="D1696" s="23"/>
      <c r="E1696" s="5"/>
      <c r="F1696" s="5"/>
      <c r="G1696" s="31">
        <f>IF($B1696="","",IFERROR(INDEX(Settings!$B$41:$B$55,MATCH($B1696,Settings!$A$41:$A$55,0)),"Check category"))</f>
      </c>
    </row>
    <row r="1697" spans="1:7" x14ac:dyDescent="0.25">
      <c r="A1697" s="22"/>
      <c r="B1697" s="5"/>
      <c r="C1697" s="5"/>
      <c r="D1697" s="23"/>
      <c r="E1697" s="5"/>
      <c r="F1697" s="5"/>
      <c r="G1697" s="31">
        <f>IF($B1697="","",IFERROR(INDEX(Settings!$B$41:$B$55,MATCH($B1697,Settings!$A$41:$A$55,0)),"Check category"))</f>
      </c>
    </row>
    <row r="1698" spans="1:7" x14ac:dyDescent="0.25">
      <c r="A1698" s="22"/>
      <c r="B1698" s="5"/>
      <c r="C1698" s="5"/>
      <c r="D1698" s="23"/>
      <c r="E1698" s="5"/>
      <c r="F1698" s="5"/>
      <c r="G1698" s="31">
        <f>IF($B1698="","",IFERROR(INDEX(Settings!$B$41:$B$55,MATCH($B1698,Settings!$A$41:$A$55,0)),"Check category"))</f>
      </c>
    </row>
    <row r="1699" spans="1:7" x14ac:dyDescent="0.25">
      <c r="A1699" s="22"/>
      <c r="B1699" s="5"/>
      <c r="C1699" s="5"/>
      <c r="D1699" s="23"/>
      <c r="E1699" s="5"/>
      <c r="F1699" s="5"/>
      <c r="G1699" s="31">
        <f>IF($B1699="","",IFERROR(INDEX(Settings!$B$41:$B$55,MATCH($B1699,Settings!$A$41:$A$55,0)),"Check category"))</f>
      </c>
    </row>
    <row r="1700" spans="1:7" x14ac:dyDescent="0.25">
      <c r="A1700" s="22"/>
      <c r="B1700" s="5"/>
      <c r="C1700" s="5"/>
      <c r="D1700" s="23"/>
      <c r="E1700" s="5"/>
      <c r="F1700" s="5"/>
      <c r="G1700" s="31">
        <f>IF($B1700="","",IFERROR(INDEX(Settings!$B$41:$B$55,MATCH($B1700,Settings!$A$41:$A$55,0)),"Check category"))</f>
      </c>
    </row>
    <row r="1701" spans="1:7" x14ac:dyDescent="0.25">
      <c r="A1701" s="22"/>
      <c r="B1701" s="5"/>
      <c r="C1701" s="5"/>
      <c r="D1701" s="23"/>
      <c r="E1701" s="5"/>
      <c r="F1701" s="5"/>
      <c r="G1701" s="31">
        <f>IF($B1701="","",IFERROR(INDEX(Settings!$B$41:$B$55,MATCH($B1701,Settings!$A$41:$A$55,0)),"Check category"))</f>
      </c>
    </row>
    <row r="1702" spans="1:7" x14ac:dyDescent="0.25">
      <c r="A1702" s="22"/>
      <c r="B1702" s="5"/>
      <c r="C1702" s="5"/>
      <c r="D1702" s="23"/>
      <c r="E1702" s="5"/>
      <c r="F1702" s="5"/>
      <c r="G1702" s="31">
        <f>IF($B1702="","",IFERROR(INDEX(Settings!$B$41:$B$55,MATCH($B1702,Settings!$A$41:$A$55,0)),"Check category"))</f>
      </c>
    </row>
    <row r="1703" spans="1:7" x14ac:dyDescent="0.25">
      <c r="A1703" s="22"/>
      <c r="B1703" s="5"/>
      <c r="C1703" s="5"/>
      <c r="D1703" s="23"/>
      <c r="E1703" s="5"/>
      <c r="F1703" s="5"/>
      <c r="G1703" s="31">
        <f>IF($B1703="","",IFERROR(INDEX(Settings!$B$41:$B$55,MATCH($B1703,Settings!$A$41:$A$55,0)),"Check category"))</f>
      </c>
    </row>
    <row r="1704" spans="1:7" x14ac:dyDescent="0.25">
      <c r="A1704" s="22"/>
      <c r="B1704" s="5"/>
      <c r="C1704" s="5"/>
      <c r="D1704" s="23"/>
      <c r="E1704" s="5"/>
      <c r="F1704" s="5"/>
      <c r="G1704" s="31">
        <f>IF($B1704="","",IFERROR(INDEX(Settings!$B$41:$B$55,MATCH($B1704,Settings!$A$41:$A$55,0)),"Check category"))</f>
      </c>
    </row>
    <row r="1705" spans="1:7" x14ac:dyDescent="0.25">
      <c r="A1705" s="22"/>
      <c r="B1705" s="5"/>
      <c r="C1705" s="5"/>
      <c r="D1705" s="23"/>
      <c r="E1705" s="5"/>
      <c r="F1705" s="5"/>
      <c r="G1705" s="31">
        <f>IF($B1705="","",IFERROR(INDEX(Settings!$B$41:$B$55,MATCH($B1705,Settings!$A$41:$A$55,0)),"Check category"))</f>
      </c>
    </row>
    <row r="1706" spans="1:7" x14ac:dyDescent="0.25">
      <c r="A1706" s="22"/>
      <c r="B1706" s="5"/>
      <c r="C1706" s="5"/>
      <c r="D1706" s="23"/>
      <c r="E1706" s="5"/>
      <c r="F1706" s="5"/>
      <c r="G1706" s="31">
        <f>IF($B1706="","",IFERROR(INDEX(Settings!$B$41:$B$55,MATCH($B1706,Settings!$A$41:$A$55,0)),"Check category"))</f>
      </c>
    </row>
    <row r="1707" spans="1:7" x14ac:dyDescent="0.25">
      <c r="A1707" s="22"/>
      <c r="B1707" s="5"/>
      <c r="C1707" s="5"/>
      <c r="D1707" s="23"/>
      <c r="E1707" s="5"/>
      <c r="F1707" s="5"/>
      <c r="G1707" s="31">
        <f>IF($B1707="","",IFERROR(INDEX(Settings!$B$41:$B$55,MATCH($B1707,Settings!$A$41:$A$55,0)),"Check category"))</f>
      </c>
    </row>
    <row r="1708" spans="1:7" x14ac:dyDescent="0.25">
      <c r="A1708" s="22"/>
      <c r="B1708" s="5"/>
      <c r="C1708" s="5"/>
      <c r="D1708" s="23"/>
      <c r="E1708" s="5"/>
      <c r="F1708" s="5"/>
      <c r="G1708" s="31">
        <f>IF($B1708="","",IFERROR(INDEX(Settings!$B$41:$B$55,MATCH($B1708,Settings!$A$41:$A$55,0)),"Check category"))</f>
      </c>
    </row>
    <row r="1709" spans="1:7" x14ac:dyDescent="0.25">
      <c r="A1709" s="22"/>
      <c r="B1709" s="5"/>
      <c r="C1709" s="5"/>
      <c r="D1709" s="23"/>
      <c r="E1709" s="5"/>
      <c r="F1709" s="5"/>
      <c r="G1709" s="31">
        <f>IF($B1709="","",IFERROR(INDEX(Settings!$B$41:$B$55,MATCH($B1709,Settings!$A$41:$A$55,0)),"Check category"))</f>
      </c>
    </row>
    <row r="1710" spans="1:7" x14ac:dyDescent="0.25">
      <c r="A1710" s="22"/>
      <c r="B1710" s="5"/>
      <c r="C1710" s="5"/>
      <c r="D1710" s="23"/>
      <c r="E1710" s="5"/>
      <c r="F1710" s="5"/>
      <c r="G1710" s="31">
        <f>IF($B1710="","",IFERROR(INDEX(Settings!$B$41:$B$55,MATCH($B1710,Settings!$A$41:$A$55,0)),"Check category"))</f>
      </c>
    </row>
    <row r="1711" spans="1:7" x14ac:dyDescent="0.25">
      <c r="A1711" s="22"/>
      <c r="B1711" s="5"/>
      <c r="C1711" s="5"/>
      <c r="D1711" s="23"/>
      <c r="E1711" s="5"/>
      <c r="F1711" s="5"/>
      <c r="G1711" s="31">
        <f>IF($B1711="","",IFERROR(INDEX(Settings!$B$41:$B$55,MATCH($B1711,Settings!$A$41:$A$55,0)),"Check category"))</f>
      </c>
    </row>
    <row r="1712" spans="1:7" x14ac:dyDescent="0.25">
      <c r="A1712" s="22"/>
      <c r="B1712" s="5"/>
      <c r="C1712" s="5"/>
      <c r="D1712" s="23"/>
      <c r="E1712" s="5"/>
      <c r="F1712" s="5"/>
      <c r="G1712" s="31">
        <f>IF($B1712="","",IFERROR(INDEX(Settings!$B$41:$B$55,MATCH($B1712,Settings!$A$41:$A$55,0)),"Check category"))</f>
      </c>
    </row>
    <row r="1713" spans="1:7" x14ac:dyDescent="0.25">
      <c r="A1713" s="22"/>
      <c r="B1713" s="5"/>
      <c r="C1713" s="5"/>
      <c r="D1713" s="23"/>
      <c r="E1713" s="5"/>
      <c r="F1713" s="5"/>
      <c r="G1713" s="31">
        <f>IF($B1713="","",IFERROR(INDEX(Settings!$B$41:$B$55,MATCH($B1713,Settings!$A$41:$A$55,0)),"Check category"))</f>
      </c>
    </row>
    <row r="1714" spans="1:7" x14ac:dyDescent="0.25">
      <c r="A1714" s="22"/>
      <c r="B1714" s="5"/>
      <c r="C1714" s="5"/>
      <c r="D1714" s="23"/>
      <c r="E1714" s="5"/>
      <c r="F1714" s="5"/>
      <c r="G1714" s="31">
        <f>IF($B1714="","",IFERROR(INDEX(Settings!$B$41:$B$55,MATCH($B1714,Settings!$A$41:$A$55,0)),"Check category"))</f>
      </c>
    </row>
    <row r="1715" spans="1:7" x14ac:dyDescent="0.25">
      <c r="A1715" s="22"/>
      <c r="B1715" s="5"/>
      <c r="C1715" s="5"/>
      <c r="D1715" s="23"/>
      <c r="E1715" s="5"/>
      <c r="F1715" s="5"/>
      <c r="G1715" s="31">
        <f>IF($B1715="","",IFERROR(INDEX(Settings!$B$41:$B$55,MATCH($B1715,Settings!$A$41:$A$55,0)),"Check category"))</f>
      </c>
    </row>
    <row r="1716" spans="1:7" x14ac:dyDescent="0.25">
      <c r="A1716" s="22"/>
      <c r="B1716" s="5"/>
      <c r="C1716" s="5"/>
      <c r="D1716" s="23"/>
      <c r="E1716" s="5"/>
      <c r="F1716" s="5"/>
      <c r="G1716" s="31">
        <f>IF($B1716="","",IFERROR(INDEX(Settings!$B$41:$B$55,MATCH($B1716,Settings!$A$41:$A$55,0)),"Check category"))</f>
      </c>
    </row>
    <row r="1717" spans="1:7" x14ac:dyDescent="0.25">
      <c r="A1717" s="22"/>
      <c r="B1717" s="5"/>
      <c r="C1717" s="5"/>
      <c r="D1717" s="23"/>
      <c r="E1717" s="5"/>
      <c r="F1717" s="5"/>
      <c r="G1717" s="31">
        <f>IF($B1717="","",IFERROR(INDEX(Settings!$B$41:$B$55,MATCH($B1717,Settings!$A$41:$A$55,0)),"Check category"))</f>
      </c>
    </row>
    <row r="1718" spans="1:7" x14ac:dyDescent="0.25">
      <c r="A1718" s="22"/>
      <c r="B1718" s="5"/>
      <c r="C1718" s="5"/>
      <c r="D1718" s="23"/>
      <c r="E1718" s="5"/>
      <c r="F1718" s="5"/>
      <c r="G1718" s="31">
        <f>IF($B1718="","",IFERROR(INDEX(Settings!$B$41:$B$55,MATCH($B1718,Settings!$A$41:$A$55,0)),"Check category"))</f>
      </c>
    </row>
    <row r="1719" spans="1:7" x14ac:dyDescent="0.25">
      <c r="A1719" s="22"/>
      <c r="B1719" s="5"/>
      <c r="C1719" s="5"/>
      <c r="D1719" s="23"/>
      <c r="E1719" s="5"/>
      <c r="F1719" s="5"/>
      <c r="G1719" s="31">
        <f>IF($B1719="","",IFERROR(INDEX(Settings!$B$41:$B$55,MATCH($B1719,Settings!$A$41:$A$55,0)),"Check category"))</f>
      </c>
    </row>
    <row r="1720" spans="1:7" x14ac:dyDescent="0.25">
      <c r="A1720" s="22"/>
      <c r="B1720" s="5"/>
      <c r="C1720" s="5"/>
      <c r="D1720" s="23"/>
      <c r="E1720" s="5"/>
      <c r="F1720" s="5"/>
      <c r="G1720" s="31">
        <f>IF($B1720="","",IFERROR(INDEX(Settings!$B$41:$B$55,MATCH($B1720,Settings!$A$41:$A$55,0)),"Check category"))</f>
      </c>
    </row>
    <row r="1721" spans="1:7" x14ac:dyDescent="0.25">
      <c r="A1721" s="22"/>
      <c r="B1721" s="5"/>
      <c r="C1721" s="5"/>
      <c r="D1721" s="23"/>
      <c r="E1721" s="5"/>
      <c r="F1721" s="5"/>
      <c r="G1721" s="31">
        <f>IF($B1721="","",IFERROR(INDEX(Settings!$B$41:$B$55,MATCH($B1721,Settings!$A$41:$A$55,0)),"Check category"))</f>
      </c>
    </row>
    <row r="1722" spans="1:7" x14ac:dyDescent="0.25">
      <c r="A1722" s="22"/>
      <c r="B1722" s="5"/>
      <c r="C1722" s="5"/>
      <c r="D1722" s="23"/>
      <c r="E1722" s="5"/>
      <c r="F1722" s="5"/>
      <c r="G1722" s="31">
        <f>IF($B1722="","",IFERROR(INDEX(Settings!$B$41:$B$55,MATCH($B1722,Settings!$A$41:$A$55,0)),"Check category"))</f>
      </c>
    </row>
    <row r="1723" spans="1:7" x14ac:dyDescent="0.25">
      <c r="A1723" s="22"/>
      <c r="B1723" s="5"/>
      <c r="C1723" s="5"/>
      <c r="D1723" s="23"/>
      <c r="E1723" s="5"/>
      <c r="F1723" s="5"/>
      <c r="G1723" s="31">
        <f>IF($B1723="","",IFERROR(INDEX(Settings!$B$41:$B$55,MATCH($B1723,Settings!$A$41:$A$55,0)),"Check category"))</f>
      </c>
    </row>
    <row r="1724" spans="1:7" x14ac:dyDescent="0.25">
      <c r="A1724" s="22"/>
      <c r="B1724" s="5"/>
      <c r="C1724" s="5"/>
      <c r="D1724" s="23"/>
      <c r="E1724" s="5"/>
      <c r="F1724" s="5"/>
      <c r="G1724" s="31">
        <f>IF($B1724="","",IFERROR(INDEX(Settings!$B$41:$B$55,MATCH($B1724,Settings!$A$41:$A$55,0)),"Check category"))</f>
      </c>
    </row>
    <row r="1725" spans="1:7" x14ac:dyDescent="0.25">
      <c r="A1725" s="22"/>
      <c r="B1725" s="5"/>
      <c r="C1725" s="5"/>
      <c r="D1725" s="23"/>
      <c r="E1725" s="5"/>
      <c r="F1725" s="5"/>
      <c r="G1725" s="31">
        <f>IF($B1725="","",IFERROR(INDEX(Settings!$B$41:$B$55,MATCH($B1725,Settings!$A$41:$A$55,0)),"Check category"))</f>
      </c>
    </row>
    <row r="1726" spans="1:7" x14ac:dyDescent="0.25">
      <c r="A1726" s="22"/>
      <c r="B1726" s="5"/>
      <c r="C1726" s="5"/>
      <c r="D1726" s="23"/>
      <c r="E1726" s="5"/>
      <c r="F1726" s="5"/>
      <c r="G1726" s="31">
        <f>IF($B1726="","",IFERROR(INDEX(Settings!$B$41:$B$55,MATCH($B1726,Settings!$A$41:$A$55,0)),"Check category"))</f>
      </c>
    </row>
    <row r="1727" spans="1:7" x14ac:dyDescent="0.25">
      <c r="A1727" s="22"/>
      <c r="B1727" s="5"/>
      <c r="C1727" s="5"/>
      <c r="D1727" s="23"/>
      <c r="E1727" s="5"/>
      <c r="F1727" s="5"/>
      <c r="G1727" s="31">
        <f>IF($B1727="","",IFERROR(INDEX(Settings!$B$41:$B$55,MATCH($B1727,Settings!$A$41:$A$55,0)),"Check category"))</f>
      </c>
    </row>
    <row r="1728" spans="1:7" x14ac:dyDescent="0.25">
      <c r="A1728" s="22"/>
      <c r="B1728" s="5"/>
      <c r="C1728" s="5"/>
      <c r="D1728" s="23"/>
      <c r="E1728" s="5"/>
      <c r="F1728" s="5"/>
      <c r="G1728" s="31">
        <f>IF($B1728="","",IFERROR(INDEX(Settings!$B$41:$B$55,MATCH($B1728,Settings!$A$41:$A$55,0)),"Check category"))</f>
      </c>
    </row>
    <row r="1729" spans="1:7" x14ac:dyDescent="0.25">
      <c r="A1729" s="22"/>
      <c r="B1729" s="5"/>
      <c r="C1729" s="5"/>
      <c r="D1729" s="23"/>
      <c r="E1729" s="5"/>
      <c r="F1729" s="5"/>
      <c r="G1729" s="31">
        <f>IF($B1729="","",IFERROR(INDEX(Settings!$B$41:$B$55,MATCH($B1729,Settings!$A$41:$A$55,0)),"Check category"))</f>
      </c>
    </row>
    <row r="1730" spans="1:7" x14ac:dyDescent="0.25">
      <c r="A1730" s="22"/>
      <c r="B1730" s="5"/>
      <c r="C1730" s="5"/>
      <c r="D1730" s="23"/>
      <c r="E1730" s="5"/>
      <c r="F1730" s="5"/>
      <c r="G1730" s="31">
        <f>IF($B1730="","",IFERROR(INDEX(Settings!$B$41:$B$55,MATCH($B1730,Settings!$A$41:$A$55,0)),"Check category"))</f>
      </c>
    </row>
    <row r="1731" spans="1:7" x14ac:dyDescent="0.25">
      <c r="A1731" s="22"/>
      <c r="B1731" s="5"/>
      <c r="C1731" s="5"/>
      <c r="D1731" s="23"/>
      <c r="E1731" s="5"/>
      <c r="F1731" s="5"/>
      <c r="G1731" s="31">
        <f>IF($B1731="","",IFERROR(INDEX(Settings!$B$41:$B$55,MATCH($B1731,Settings!$A$41:$A$55,0)),"Check category"))</f>
      </c>
    </row>
    <row r="1732" spans="1:7" x14ac:dyDescent="0.25">
      <c r="A1732" s="22"/>
      <c r="B1732" s="5"/>
      <c r="C1732" s="5"/>
      <c r="D1732" s="23"/>
      <c r="E1732" s="5"/>
      <c r="F1732" s="5"/>
      <c r="G1732" s="31">
        <f>IF($B1732="","",IFERROR(INDEX(Settings!$B$41:$B$55,MATCH($B1732,Settings!$A$41:$A$55,0)),"Check category"))</f>
      </c>
    </row>
    <row r="1733" spans="1:7" x14ac:dyDescent="0.25">
      <c r="A1733" s="22"/>
      <c r="B1733" s="5"/>
      <c r="C1733" s="5"/>
      <c r="D1733" s="23"/>
      <c r="E1733" s="5"/>
      <c r="F1733" s="5"/>
      <c r="G1733" s="31">
        <f>IF($B1733="","",IFERROR(INDEX(Settings!$B$41:$B$55,MATCH($B1733,Settings!$A$41:$A$55,0)),"Check category"))</f>
      </c>
    </row>
    <row r="1734" spans="1:7" x14ac:dyDescent="0.25">
      <c r="A1734" s="22"/>
      <c r="B1734" s="5"/>
      <c r="C1734" s="5"/>
      <c r="D1734" s="23"/>
      <c r="E1734" s="5"/>
      <c r="F1734" s="5"/>
      <c r="G1734" s="31">
        <f>IF($B1734="","",IFERROR(INDEX(Settings!$B$41:$B$55,MATCH($B1734,Settings!$A$41:$A$55,0)),"Check category"))</f>
      </c>
    </row>
    <row r="1735" spans="1:7" x14ac:dyDescent="0.25">
      <c r="A1735" s="22"/>
      <c r="B1735" s="5"/>
      <c r="C1735" s="5"/>
      <c r="D1735" s="23"/>
      <c r="E1735" s="5"/>
      <c r="F1735" s="5"/>
      <c r="G1735" s="31">
        <f>IF($B1735="","",IFERROR(INDEX(Settings!$B$41:$B$55,MATCH($B1735,Settings!$A$41:$A$55,0)),"Check category"))</f>
      </c>
    </row>
    <row r="1736" spans="1:7" x14ac:dyDescent="0.25">
      <c r="A1736" s="22"/>
      <c r="B1736" s="5"/>
      <c r="C1736" s="5"/>
      <c r="D1736" s="23"/>
      <c r="E1736" s="5"/>
      <c r="F1736" s="5"/>
      <c r="G1736" s="31">
        <f>IF($B1736="","",IFERROR(INDEX(Settings!$B$41:$B$55,MATCH($B1736,Settings!$A$41:$A$55,0)),"Check category"))</f>
      </c>
    </row>
    <row r="1737" spans="1:7" x14ac:dyDescent="0.25">
      <c r="A1737" s="22"/>
      <c r="B1737" s="5"/>
      <c r="C1737" s="5"/>
      <c r="D1737" s="23"/>
      <c r="E1737" s="5"/>
      <c r="F1737" s="5"/>
      <c r="G1737" s="31">
        <f>IF($B1737="","",IFERROR(INDEX(Settings!$B$41:$B$55,MATCH($B1737,Settings!$A$41:$A$55,0)),"Check category"))</f>
      </c>
    </row>
    <row r="1738" spans="1:7" x14ac:dyDescent="0.25">
      <c r="A1738" s="22"/>
      <c r="B1738" s="5"/>
      <c r="C1738" s="5"/>
      <c r="D1738" s="23"/>
      <c r="E1738" s="5"/>
      <c r="F1738" s="5"/>
      <c r="G1738" s="31">
        <f>IF($B1738="","",IFERROR(INDEX(Settings!$B$41:$B$55,MATCH($B1738,Settings!$A$41:$A$55,0)),"Check category"))</f>
      </c>
    </row>
    <row r="1739" spans="1:7" x14ac:dyDescent="0.25">
      <c r="A1739" s="22"/>
      <c r="B1739" s="5"/>
      <c r="C1739" s="5"/>
      <c r="D1739" s="23"/>
      <c r="E1739" s="5"/>
      <c r="F1739" s="5"/>
      <c r="G1739" s="31">
        <f>IF($B1739="","",IFERROR(INDEX(Settings!$B$41:$B$55,MATCH($B1739,Settings!$A$41:$A$55,0)),"Check category"))</f>
      </c>
    </row>
    <row r="1740" spans="1:7" x14ac:dyDescent="0.25">
      <c r="A1740" s="22"/>
      <c r="B1740" s="5"/>
      <c r="C1740" s="5"/>
      <c r="D1740" s="23"/>
      <c r="E1740" s="5"/>
      <c r="F1740" s="5"/>
      <c r="G1740" s="31">
        <f>IF($B1740="","",IFERROR(INDEX(Settings!$B$41:$B$55,MATCH($B1740,Settings!$A$41:$A$55,0)),"Check category"))</f>
      </c>
    </row>
    <row r="1741" spans="1:7" x14ac:dyDescent="0.25">
      <c r="A1741" s="22"/>
      <c r="B1741" s="5"/>
      <c r="C1741" s="5"/>
      <c r="D1741" s="23"/>
      <c r="E1741" s="5"/>
      <c r="F1741" s="5"/>
      <c r="G1741" s="31">
        <f>IF($B1741="","",IFERROR(INDEX(Settings!$B$41:$B$55,MATCH($B1741,Settings!$A$41:$A$55,0)),"Check category"))</f>
      </c>
    </row>
    <row r="1742" spans="1:7" x14ac:dyDescent="0.25">
      <c r="A1742" s="22"/>
      <c r="B1742" s="5"/>
      <c r="C1742" s="5"/>
      <c r="D1742" s="23"/>
      <c r="E1742" s="5"/>
      <c r="F1742" s="5"/>
      <c r="G1742" s="31">
        <f>IF($B1742="","",IFERROR(INDEX(Settings!$B$41:$B$55,MATCH($B1742,Settings!$A$41:$A$55,0)),"Check category"))</f>
      </c>
    </row>
    <row r="1743" spans="1:7" x14ac:dyDescent="0.25">
      <c r="A1743" s="22"/>
      <c r="B1743" s="5"/>
      <c r="C1743" s="5"/>
      <c r="D1743" s="23"/>
      <c r="E1743" s="5"/>
      <c r="F1743" s="5"/>
      <c r="G1743" s="31">
        <f>IF($B1743="","",IFERROR(INDEX(Settings!$B$41:$B$55,MATCH($B1743,Settings!$A$41:$A$55,0)),"Check category"))</f>
      </c>
    </row>
    <row r="1744" spans="1:7" x14ac:dyDescent="0.25">
      <c r="A1744" s="22"/>
      <c r="B1744" s="5"/>
      <c r="C1744" s="5"/>
      <c r="D1744" s="23"/>
      <c r="E1744" s="5"/>
      <c r="F1744" s="5"/>
      <c r="G1744" s="31">
        <f>IF($B1744="","",IFERROR(INDEX(Settings!$B$41:$B$55,MATCH($B1744,Settings!$A$41:$A$55,0)),"Check category"))</f>
      </c>
    </row>
    <row r="1745" spans="1:7" x14ac:dyDescent="0.25">
      <c r="A1745" s="22"/>
      <c r="B1745" s="5"/>
      <c r="C1745" s="5"/>
      <c r="D1745" s="23"/>
      <c r="E1745" s="5"/>
      <c r="F1745" s="5"/>
      <c r="G1745" s="31">
        <f>IF($B1745="","",IFERROR(INDEX(Settings!$B$41:$B$55,MATCH($B1745,Settings!$A$41:$A$55,0)),"Check category"))</f>
      </c>
    </row>
    <row r="1746" spans="1:7" x14ac:dyDescent="0.25">
      <c r="A1746" s="22"/>
      <c r="B1746" s="5"/>
      <c r="C1746" s="5"/>
      <c r="D1746" s="23"/>
      <c r="E1746" s="5"/>
      <c r="F1746" s="5"/>
      <c r="G1746" s="31">
        <f>IF($B1746="","",IFERROR(INDEX(Settings!$B$41:$B$55,MATCH($B1746,Settings!$A$41:$A$55,0)),"Check category"))</f>
      </c>
    </row>
    <row r="1747" spans="1:7" x14ac:dyDescent="0.25">
      <c r="A1747" s="22"/>
      <c r="B1747" s="5"/>
      <c r="C1747" s="5"/>
      <c r="D1747" s="23"/>
      <c r="E1747" s="5"/>
      <c r="F1747" s="5"/>
      <c r="G1747" s="31">
        <f>IF($B1747="","",IFERROR(INDEX(Settings!$B$41:$B$55,MATCH($B1747,Settings!$A$41:$A$55,0)),"Check category"))</f>
      </c>
    </row>
    <row r="1748" spans="1:7" x14ac:dyDescent="0.25">
      <c r="A1748" s="22"/>
      <c r="B1748" s="5"/>
      <c r="C1748" s="5"/>
      <c r="D1748" s="23"/>
      <c r="E1748" s="5"/>
      <c r="F1748" s="5"/>
      <c r="G1748" s="31">
        <f>IF($B1748="","",IFERROR(INDEX(Settings!$B$41:$B$55,MATCH($B1748,Settings!$A$41:$A$55,0)),"Check category"))</f>
      </c>
    </row>
    <row r="1749" spans="1:7" x14ac:dyDescent="0.25">
      <c r="A1749" s="22"/>
      <c r="B1749" s="5"/>
      <c r="C1749" s="5"/>
      <c r="D1749" s="23"/>
      <c r="E1749" s="5"/>
      <c r="F1749" s="5"/>
      <c r="G1749" s="31">
        <f>IF($B1749="","",IFERROR(INDEX(Settings!$B$41:$B$55,MATCH($B1749,Settings!$A$41:$A$55,0)),"Check category"))</f>
      </c>
    </row>
    <row r="1750" spans="1:7" x14ac:dyDescent="0.25">
      <c r="A1750" s="22"/>
      <c r="B1750" s="5"/>
      <c r="C1750" s="5"/>
      <c r="D1750" s="23"/>
      <c r="E1750" s="5"/>
      <c r="F1750" s="5"/>
      <c r="G1750" s="31">
        <f>IF($B1750="","",IFERROR(INDEX(Settings!$B$41:$B$55,MATCH($B1750,Settings!$A$41:$A$55,0)),"Check category"))</f>
      </c>
    </row>
    <row r="1751" spans="1:7" x14ac:dyDescent="0.25">
      <c r="A1751" s="22"/>
      <c r="B1751" s="5"/>
      <c r="C1751" s="5"/>
      <c r="D1751" s="23"/>
      <c r="E1751" s="5"/>
      <c r="F1751" s="5"/>
      <c r="G1751" s="31">
        <f>IF($B1751="","",IFERROR(INDEX(Settings!$B$41:$B$55,MATCH($B1751,Settings!$A$41:$A$55,0)),"Check category"))</f>
      </c>
    </row>
    <row r="1752" spans="1:7" x14ac:dyDescent="0.25">
      <c r="A1752" s="22"/>
      <c r="B1752" s="5"/>
      <c r="C1752" s="5"/>
      <c r="D1752" s="23"/>
      <c r="E1752" s="5"/>
      <c r="F1752" s="5"/>
      <c r="G1752" s="31">
        <f>IF($B1752="","",IFERROR(INDEX(Settings!$B$41:$B$55,MATCH($B1752,Settings!$A$41:$A$55,0)),"Check category"))</f>
      </c>
    </row>
    <row r="1753" spans="1:7" x14ac:dyDescent="0.25">
      <c r="A1753" s="22"/>
      <c r="B1753" s="5"/>
      <c r="C1753" s="5"/>
      <c r="D1753" s="23"/>
      <c r="E1753" s="5"/>
      <c r="F1753" s="5"/>
      <c r="G1753" s="31">
        <f>IF($B1753="","",IFERROR(INDEX(Settings!$B$41:$B$55,MATCH($B1753,Settings!$A$41:$A$55,0)),"Check category"))</f>
      </c>
    </row>
    <row r="1754" spans="1:7" x14ac:dyDescent="0.25">
      <c r="A1754" s="22"/>
      <c r="B1754" s="5"/>
      <c r="C1754" s="5"/>
      <c r="D1754" s="23"/>
      <c r="E1754" s="5"/>
      <c r="F1754" s="5"/>
      <c r="G1754" s="31">
        <f>IF($B1754="","",IFERROR(INDEX(Settings!$B$41:$B$55,MATCH($B1754,Settings!$A$41:$A$55,0)),"Check category"))</f>
      </c>
    </row>
    <row r="1755" spans="1:7" x14ac:dyDescent="0.25">
      <c r="A1755" s="22"/>
      <c r="B1755" s="5"/>
      <c r="C1755" s="5"/>
      <c r="D1755" s="23"/>
      <c r="E1755" s="5"/>
      <c r="F1755" s="5"/>
      <c r="G1755" s="31">
        <f>IF($B1755="","",IFERROR(INDEX(Settings!$B$41:$B$55,MATCH($B1755,Settings!$A$41:$A$55,0)),"Check category"))</f>
      </c>
    </row>
    <row r="1756" spans="1:7" x14ac:dyDescent="0.25">
      <c r="A1756" s="22"/>
      <c r="B1756" s="5"/>
      <c r="C1756" s="5"/>
      <c r="D1756" s="23"/>
      <c r="E1756" s="5"/>
      <c r="F1756" s="5"/>
      <c r="G1756" s="31">
        <f>IF($B1756="","",IFERROR(INDEX(Settings!$B$41:$B$55,MATCH($B1756,Settings!$A$41:$A$55,0)),"Check category"))</f>
      </c>
    </row>
    <row r="1757" spans="1:7" x14ac:dyDescent="0.25">
      <c r="A1757" s="22"/>
      <c r="B1757" s="5"/>
      <c r="C1757" s="5"/>
      <c r="D1757" s="23"/>
      <c r="E1757" s="5"/>
      <c r="F1757" s="5"/>
      <c r="G1757" s="31">
        <f>IF($B1757="","",IFERROR(INDEX(Settings!$B$41:$B$55,MATCH($B1757,Settings!$A$41:$A$55,0)),"Check category"))</f>
      </c>
    </row>
    <row r="1758" spans="1:7" x14ac:dyDescent="0.25">
      <c r="A1758" s="22"/>
      <c r="B1758" s="5"/>
      <c r="C1758" s="5"/>
      <c r="D1758" s="23"/>
      <c r="E1758" s="5"/>
      <c r="F1758" s="5"/>
      <c r="G1758" s="31">
        <f>IF($B1758="","",IFERROR(INDEX(Settings!$B$41:$B$55,MATCH($B1758,Settings!$A$41:$A$55,0)),"Check category"))</f>
      </c>
    </row>
    <row r="1759" spans="1:7" x14ac:dyDescent="0.25">
      <c r="A1759" s="22"/>
      <c r="B1759" s="5"/>
      <c r="C1759" s="5"/>
      <c r="D1759" s="23"/>
      <c r="E1759" s="5"/>
      <c r="F1759" s="5"/>
      <c r="G1759" s="31">
        <f>IF($B1759="","",IFERROR(INDEX(Settings!$B$41:$B$55,MATCH($B1759,Settings!$A$41:$A$55,0)),"Check category"))</f>
      </c>
    </row>
    <row r="1760" spans="1:7" x14ac:dyDescent="0.25">
      <c r="A1760" s="22"/>
      <c r="B1760" s="5"/>
      <c r="C1760" s="5"/>
      <c r="D1760" s="23"/>
      <c r="E1760" s="5"/>
      <c r="F1760" s="5"/>
      <c r="G1760" s="31">
        <f>IF($B1760="","",IFERROR(INDEX(Settings!$B$41:$B$55,MATCH($B1760,Settings!$A$41:$A$55,0)),"Check category"))</f>
      </c>
    </row>
    <row r="1761" spans="1:7" x14ac:dyDescent="0.25">
      <c r="A1761" s="22"/>
      <c r="B1761" s="5"/>
      <c r="C1761" s="5"/>
      <c r="D1761" s="23"/>
      <c r="E1761" s="5"/>
      <c r="F1761" s="5"/>
      <c r="G1761" s="31">
        <f>IF($B1761="","",IFERROR(INDEX(Settings!$B$41:$B$55,MATCH($B1761,Settings!$A$41:$A$55,0)),"Check category"))</f>
      </c>
    </row>
    <row r="1762" spans="1:7" x14ac:dyDescent="0.25">
      <c r="A1762" s="22"/>
      <c r="B1762" s="5"/>
      <c r="C1762" s="5"/>
      <c r="D1762" s="23"/>
      <c r="E1762" s="5"/>
      <c r="F1762" s="5"/>
      <c r="G1762" s="31">
        <f>IF($B1762="","",IFERROR(INDEX(Settings!$B$41:$B$55,MATCH($B1762,Settings!$A$41:$A$55,0)),"Check category"))</f>
      </c>
    </row>
    <row r="1763" spans="1:7" x14ac:dyDescent="0.25">
      <c r="A1763" s="22"/>
      <c r="B1763" s="5"/>
      <c r="C1763" s="5"/>
      <c r="D1763" s="23"/>
      <c r="E1763" s="5"/>
      <c r="F1763" s="5"/>
      <c r="G1763" s="31">
        <f>IF($B1763="","",IFERROR(INDEX(Settings!$B$41:$B$55,MATCH($B1763,Settings!$A$41:$A$55,0)),"Check category"))</f>
      </c>
    </row>
    <row r="1764" spans="1:7" x14ac:dyDescent="0.25">
      <c r="A1764" s="22"/>
      <c r="B1764" s="5"/>
      <c r="C1764" s="5"/>
      <c r="D1764" s="23"/>
      <c r="E1764" s="5"/>
      <c r="F1764" s="5"/>
      <c r="G1764" s="31">
        <f>IF($B1764="","",IFERROR(INDEX(Settings!$B$41:$B$55,MATCH($B1764,Settings!$A$41:$A$55,0)),"Check category"))</f>
      </c>
    </row>
    <row r="1765" spans="1:7" x14ac:dyDescent="0.25">
      <c r="A1765" s="22"/>
      <c r="B1765" s="5"/>
      <c r="C1765" s="5"/>
      <c r="D1765" s="23"/>
      <c r="E1765" s="5"/>
      <c r="F1765" s="5"/>
      <c r="G1765" s="31">
        <f>IF($B1765="","",IFERROR(INDEX(Settings!$B$41:$B$55,MATCH($B1765,Settings!$A$41:$A$55,0)),"Check category"))</f>
      </c>
    </row>
    <row r="1766" spans="1:7" x14ac:dyDescent="0.25">
      <c r="A1766" s="22"/>
      <c r="B1766" s="5"/>
      <c r="C1766" s="5"/>
      <c r="D1766" s="23"/>
      <c r="E1766" s="5"/>
      <c r="F1766" s="5"/>
      <c r="G1766" s="31">
        <f>IF($B1766="","",IFERROR(INDEX(Settings!$B$41:$B$55,MATCH($B1766,Settings!$A$41:$A$55,0)),"Check category"))</f>
      </c>
    </row>
    <row r="1767" spans="1:7" x14ac:dyDescent="0.25">
      <c r="A1767" s="22"/>
      <c r="B1767" s="5"/>
      <c r="C1767" s="5"/>
      <c r="D1767" s="23"/>
      <c r="E1767" s="5"/>
      <c r="F1767" s="5"/>
      <c r="G1767" s="31">
        <f>IF($B1767="","",IFERROR(INDEX(Settings!$B$41:$B$55,MATCH($B1767,Settings!$A$41:$A$55,0)),"Check category"))</f>
      </c>
    </row>
    <row r="1768" spans="1:7" x14ac:dyDescent="0.25">
      <c r="A1768" s="22"/>
      <c r="B1768" s="5"/>
      <c r="C1768" s="5"/>
      <c r="D1768" s="23"/>
      <c r="E1768" s="5"/>
      <c r="F1768" s="5"/>
      <c r="G1768" s="31">
        <f>IF($B1768="","",IFERROR(INDEX(Settings!$B$41:$B$55,MATCH($B1768,Settings!$A$41:$A$55,0)),"Check category"))</f>
      </c>
    </row>
    <row r="1769" spans="1:7" x14ac:dyDescent="0.25">
      <c r="A1769" s="22"/>
      <c r="B1769" s="5"/>
      <c r="C1769" s="5"/>
      <c r="D1769" s="23"/>
      <c r="E1769" s="5"/>
      <c r="F1769" s="5"/>
      <c r="G1769" s="31">
        <f>IF($B1769="","",IFERROR(INDEX(Settings!$B$41:$B$55,MATCH($B1769,Settings!$A$41:$A$55,0)),"Check category"))</f>
      </c>
    </row>
    <row r="1770" spans="1:7" x14ac:dyDescent="0.25">
      <c r="A1770" s="22"/>
      <c r="B1770" s="5"/>
      <c r="C1770" s="5"/>
      <c r="D1770" s="23"/>
      <c r="E1770" s="5"/>
      <c r="F1770" s="5"/>
      <c r="G1770" s="31">
        <f>IF($B1770="","",IFERROR(INDEX(Settings!$B$41:$B$55,MATCH($B1770,Settings!$A$41:$A$55,0)),"Check category"))</f>
      </c>
    </row>
    <row r="1771" spans="1:7" x14ac:dyDescent="0.25">
      <c r="A1771" s="22"/>
      <c r="B1771" s="5"/>
      <c r="C1771" s="5"/>
      <c r="D1771" s="23"/>
      <c r="E1771" s="5"/>
      <c r="F1771" s="5"/>
      <c r="G1771" s="31">
        <f>IF($B1771="","",IFERROR(INDEX(Settings!$B$41:$B$55,MATCH($B1771,Settings!$A$41:$A$55,0)),"Check category"))</f>
      </c>
    </row>
    <row r="1772" spans="1:7" x14ac:dyDescent="0.25">
      <c r="A1772" s="22"/>
      <c r="B1772" s="5"/>
      <c r="C1772" s="5"/>
      <c r="D1772" s="23"/>
      <c r="E1772" s="5"/>
      <c r="F1772" s="5"/>
      <c r="G1772" s="31">
        <f>IF($B1772="","",IFERROR(INDEX(Settings!$B$41:$B$55,MATCH($B1772,Settings!$A$41:$A$55,0)),"Check category"))</f>
      </c>
    </row>
    <row r="1773" spans="1:7" x14ac:dyDescent="0.25">
      <c r="A1773" s="22"/>
      <c r="B1773" s="5"/>
      <c r="C1773" s="5"/>
      <c r="D1773" s="23"/>
      <c r="E1773" s="5"/>
      <c r="F1773" s="5"/>
      <c r="G1773" s="31">
        <f>IF($B1773="","",IFERROR(INDEX(Settings!$B$41:$B$55,MATCH($B1773,Settings!$A$41:$A$55,0)),"Check category"))</f>
      </c>
    </row>
    <row r="1774" spans="1:7" x14ac:dyDescent="0.25">
      <c r="A1774" s="22"/>
      <c r="B1774" s="5"/>
      <c r="C1774" s="5"/>
      <c r="D1774" s="23"/>
      <c r="E1774" s="5"/>
      <c r="F1774" s="5"/>
      <c r="G1774" s="31">
        <f>IF($B1774="","",IFERROR(INDEX(Settings!$B$41:$B$55,MATCH($B1774,Settings!$A$41:$A$55,0)),"Check category"))</f>
      </c>
    </row>
    <row r="1775" spans="1:7" x14ac:dyDescent="0.25">
      <c r="A1775" s="22"/>
      <c r="B1775" s="5"/>
      <c r="C1775" s="5"/>
      <c r="D1775" s="23"/>
      <c r="E1775" s="5"/>
      <c r="F1775" s="5"/>
      <c r="G1775" s="31">
        <f>IF($B1775="","",IFERROR(INDEX(Settings!$B$41:$B$55,MATCH($B1775,Settings!$A$41:$A$55,0)),"Check category"))</f>
      </c>
    </row>
    <row r="1776" spans="1:7" x14ac:dyDescent="0.25">
      <c r="A1776" s="22"/>
      <c r="B1776" s="5"/>
      <c r="C1776" s="5"/>
      <c r="D1776" s="23"/>
      <c r="E1776" s="5"/>
      <c r="F1776" s="5"/>
      <c r="G1776" s="31">
        <f>IF($B1776="","",IFERROR(INDEX(Settings!$B$41:$B$55,MATCH($B1776,Settings!$A$41:$A$55,0)),"Check category"))</f>
      </c>
    </row>
    <row r="1777" spans="1:7" x14ac:dyDescent="0.25">
      <c r="A1777" s="22"/>
      <c r="B1777" s="5"/>
      <c r="C1777" s="5"/>
      <c r="D1777" s="23"/>
      <c r="E1777" s="5"/>
      <c r="F1777" s="5"/>
      <c r="G1777" s="31">
        <f>IF($B1777="","",IFERROR(INDEX(Settings!$B$41:$B$55,MATCH($B1777,Settings!$A$41:$A$55,0)),"Check category"))</f>
      </c>
    </row>
    <row r="1778" spans="1:7" x14ac:dyDescent="0.25">
      <c r="A1778" s="22"/>
      <c r="B1778" s="5"/>
      <c r="C1778" s="5"/>
      <c r="D1778" s="23"/>
      <c r="E1778" s="5"/>
      <c r="F1778" s="5"/>
      <c r="G1778" s="31">
        <f>IF($B1778="","",IFERROR(INDEX(Settings!$B$41:$B$55,MATCH($B1778,Settings!$A$41:$A$55,0)),"Check category"))</f>
      </c>
    </row>
    <row r="1779" spans="1:7" x14ac:dyDescent="0.25">
      <c r="A1779" s="22"/>
      <c r="B1779" s="5"/>
      <c r="C1779" s="5"/>
      <c r="D1779" s="23"/>
      <c r="E1779" s="5"/>
      <c r="F1779" s="5"/>
      <c r="G1779" s="31">
        <f>IF($B1779="","",IFERROR(INDEX(Settings!$B$41:$B$55,MATCH($B1779,Settings!$A$41:$A$55,0)),"Check category"))</f>
      </c>
    </row>
    <row r="1780" spans="1:7" x14ac:dyDescent="0.25">
      <c r="A1780" s="22"/>
      <c r="B1780" s="5"/>
      <c r="C1780" s="5"/>
      <c r="D1780" s="23"/>
      <c r="E1780" s="5"/>
      <c r="F1780" s="5"/>
      <c r="G1780" s="31">
        <f>IF($B1780="","",IFERROR(INDEX(Settings!$B$41:$B$55,MATCH($B1780,Settings!$A$41:$A$55,0)),"Check category"))</f>
      </c>
    </row>
    <row r="1781" spans="1:7" x14ac:dyDescent="0.25">
      <c r="A1781" s="22"/>
      <c r="B1781" s="5"/>
      <c r="C1781" s="5"/>
      <c r="D1781" s="23"/>
      <c r="E1781" s="5"/>
      <c r="F1781" s="5"/>
      <c r="G1781" s="31">
        <f>IF($B1781="","",IFERROR(INDEX(Settings!$B$41:$B$55,MATCH($B1781,Settings!$A$41:$A$55,0)),"Check category"))</f>
      </c>
    </row>
    <row r="1782" spans="1:7" x14ac:dyDescent="0.25">
      <c r="A1782" s="22"/>
      <c r="B1782" s="5"/>
      <c r="C1782" s="5"/>
      <c r="D1782" s="23"/>
      <c r="E1782" s="5"/>
      <c r="F1782" s="5"/>
      <c r="G1782" s="31">
        <f>IF($B1782="","",IFERROR(INDEX(Settings!$B$41:$B$55,MATCH($B1782,Settings!$A$41:$A$55,0)),"Check category"))</f>
      </c>
    </row>
    <row r="1783" spans="1:7" x14ac:dyDescent="0.25">
      <c r="A1783" s="22"/>
      <c r="B1783" s="5"/>
      <c r="C1783" s="5"/>
      <c r="D1783" s="23"/>
      <c r="E1783" s="5"/>
      <c r="F1783" s="5"/>
      <c r="G1783" s="31">
        <f>IF($B1783="","",IFERROR(INDEX(Settings!$B$41:$B$55,MATCH($B1783,Settings!$A$41:$A$55,0)),"Check category"))</f>
      </c>
    </row>
    <row r="1784" spans="1:7" x14ac:dyDescent="0.25">
      <c r="A1784" s="22"/>
      <c r="B1784" s="5"/>
      <c r="C1784" s="5"/>
      <c r="D1784" s="23"/>
      <c r="E1784" s="5"/>
      <c r="F1784" s="5"/>
      <c r="G1784" s="31">
        <f>IF($B1784="","",IFERROR(INDEX(Settings!$B$41:$B$55,MATCH($B1784,Settings!$A$41:$A$55,0)),"Check category"))</f>
      </c>
    </row>
    <row r="1785" spans="1:7" x14ac:dyDescent="0.25">
      <c r="A1785" s="22"/>
      <c r="B1785" s="5"/>
      <c r="C1785" s="5"/>
      <c r="D1785" s="23"/>
      <c r="E1785" s="5"/>
      <c r="F1785" s="5"/>
      <c r="G1785" s="31">
        <f>IF($B1785="","",IFERROR(INDEX(Settings!$B$41:$B$55,MATCH($B1785,Settings!$A$41:$A$55,0)),"Check category"))</f>
      </c>
    </row>
    <row r="1786" spans="1:7" x14ac:dyDescent="0.25">
      <c r="A1786" s="22"/>
      <c r="B1786" s="5"/>
      <c r="C1786" s="5"/>
      <c r="D1786" s="23"/>
      <c r="E1786" s="5"/>
      <c r="F1786" s="5"/>
      <c r="G1786" s="31">
        <f>IF($B1786="","",IFERROR(INDEX(Settings!$B$41:$B$55,MATCH($B1786,Settings!$A$41:$A$55,0)),"Check category"))</f>
      </c>
    </row>
    <row r="1787" spans="1:7" x14ac:dyDescent="0.25">
      <c r="A1787" s="22"/>
      <c r="B1787" s="5"/>
      <c r="C1787" s="5"/>
      <c r="D1787" s="23"/>
      <c r="E1787" s="5"/>
      <c r="F1787" s="5"/>
      <c r="G1787" s="31">
        <f>IF($B1787="","",IFERROR(INDEX(Settings!$B$41:$B$55,MATCH($B1787,Settings!$A$41:$A$55,0)),"Check category"))</f>
      </c>
    </row>
    <row r="1788" spans="1:7" x14ac:dyDescent="0.25">
      <c r="A1788" s="22"/>
      <c r="B1788" s="5"/>
      <c r="C1788" s="5"/>
      <c r="D1788" s="23"/>
      <c r="E1788" s="5"/>
      <c r="F1788" s="5"/>
      <c r="G1788" s="31">
        <f>IF($B1788="","",IFERROR(INDEX(Settings!$B$41:$B$55,MATCH($B1788,Settings!$A$41:$A$55,0)),"Check category"))</f>
      </c>
    </row>
    <row r="1789" spans="1:7" x14ac:dyDescent="0.25">
      <c r="A1789" s="22"/>
      <c r="B1789" s="5"/>
      <c r="C1789" s="5"/>
      <c r="D1789" s="23"/>
      <c r="E1789" s="5"/>
      <c r="F1789" s="5"/>
      <c r="G1789" s="31">
        <f>IF($B1789="","",IFERROR(INDEX(Settings!$B$41:$B$55,MATCH($B1789,Settings!$A$41:$A$55,0)),"Check category"))</f>
      </c>
    </row>
    <row r="1790" spans="1:7" x14ac:dyDescent="0.25">
      <c r="A1790" s="22"/>
      <c r="B1790" s="5"/>
      <c r="C1790" s="5"/>
      <c r="D1790" s="23"/>
      <c r="E1790" s="5"/>
      <c r="F1790" s="5"/>
      <c r="G1790" s="31">
        <f>IF($B1790="","",IFERROR(INDEX(Settings!$B$41:$B$55,MATCH($B1790,Settings!$A$41:$A$55,0)),"Check category"))</f>
      </c>
    </row>
    <row r="1791" spans="1:7" x14ac:dyDescent="0.25">
      <c r="A1791" s="22"/>
      <c r="B1791" s="5"/>
      <c r="C1791" s="5"/>
      <c r="D1791" s="23"/>
      <c r="E1791" s="5"/>
      <c r="F1791" s="5"/>
      <c r="G1791" s="31">
        <f>IF($B1791="","",IFERROR(INDEX(Settings!$B$41:$B$55,MATCH($B1791,Settings!$A$41:$A$55,0)),"Check category"))</f>
      </c>
    </row>
    <row r="1792" spans="1:7" x14ac:dyDescent="0.25">
      <c r="A1792" s="22"/>
      <c r="B1792" s="5"/>
      <c r="C1792" s="5"/>
      <c r="D1792" s="23"/>
      <c r="E1792" s="5"/>
      <c r="F1792" s="5"/>
      <c r="G1792" s="31">
        <f>IF($B1792="","",IFERROR(INDEX(Settings!$B$41:$B$55,MATCH($B1792,Settings!$A$41:$A$55,0)),"Check category"))</f>
      </c>
    </row>
    <row r="1793" spans="1:7" x14ac:dyDescent="0.25">
      <c r="A1793" s="22"/>
      <c r="B1793" s="5"/>
      <c r="C1793" s="5"/>
      <c r="D1793" s="23"/>
      <c r="E1793" s="5"/>
      <c r="F1793" s="5"/>
      <c r="G1793" s="31">
        <f>IF($B1793="","",IFERROR(INDEX(Settings!$B$41:$B$55,MATCH($B1793,Settings!$A$41:$A$55,0)),"Check category"))</f>
      </c>
    </row>
    <row r="1794" spans="1:7" x14ac:dyDescent="0.25">
      <c r="A1794" s="22"/>
      <c r="B1794" s="5"/>
      <c r="C1794" s="5"/>
      <c r="D1794" s="23"/>
      <c r="E1794" s="5"/>
      <c r="F1794" s="5"/>
      <c r="G1794" s="31">
        <f>IF($B1794="","",IFERROR(INDEX(Settings!$B$41:$B$55,MATCH($B1794,Settings!$A$41:$A$55,0)),"Check category"))</f>
      </c>
    </row>
    <row r="1795" spans="1:7" x14ac:dyDescent="0.25">
      <c r="A1795" s="22"/>
      <c r="B1795" s="5"/>
      <c r="C1795" s="5"/>
      <c r="D1795" s="23"/>
      <c r="E1795" s="5"/>
      <c r="F1795" s="5"/>
      <c r="G1795" s="31">
        <f>IF($B1795="","",IFERROR(INDEX(Settings!$B$41:$B$55,MATCH($B1795,Settings!$A$41:$A$55,0)),"Check category"))</f>
      </c>
    </row>
    <row r="1796" spans="1:7" x14ac:dyDescent="0.25">
      <c r="A1796" s="22"/>
      <c r="B1796" s="5"/>
      <c r="C1796" s="5"/>
      <c r="D1796" s="23"/>
      <c r="E1796" s="5"/>
      <c r="F1796" s="5"/>
      <c r="G1796" s="31">
        <f>IF($B1796="","",IFERROR(INDEX(Settings!$B$41:$B$55,MATCH($B1796,Settings!$A$41:$A$55,0)),"Check category"))</f>
      </c>
    </row>
    <row r="1797" spans="1:7" x14ac:dyDescent="0.25">
      <c r="A1797" s="22"/>
      <c r="B1797" s="5"/>
      <c r="C1797" s="5"/>
      <c r="D1797" s="23"/>
      <c r="E1797" s="5"/>
      <c r="F1797" s="5"/>
      <c r="G1797" s="31">
        <f>IF($B1797="","",IFERROR(INDEX(Settings!$B$41:$B$55,MATCH($B1797,Settings!$A$41:$A$55,0)),"Check category"))</f>
      </c>
    </row>
    <row r="1798" spans="1:7" x14ac:dyDescent="0.25">
      <c r="A1798" s="22"/>
      <c r="B1798" s="5"/>
      <c r="C1798" s="5"/>
      <c r="D1798" s="23"/>
      <c r="E1798" s="5"/>
      <c r="F1798" s="5"/>
      <c r="G1798" s="31">
        <f>IF($B1798="","",IFERROR(INDEX(Settings!$B$41:$B$55,MATCH($B1798,Settings!$A$41:$A$55,0)),"Check category"))</f>
      </c>
    </row>
    <row r="1799" spans="1:7" x14ac:dyDescent="0.25">
      <c r="A1799" s="22"/>
      <c r="B1799" s="5"/>
      <c r="C1799" s="5"/>
      <c r="D1799" s="23"/>
      <c r="E1799" s="5"/>
      <c r="F1799" s="5"/>
      <c r="G1799" s="31">
        <f>IF($B1799="","",IFERROR(INDEX(Settings!$B$41:$B$55,MATCH($B1799,Settings!$A$41:$A$55,0)),"Check category"))</f>
      </c>
    </row>
    <row r="1800" spans="1:7" x14ac:dyDescent="0.25">
      <c r="A1800" s="22"/>
      <c r="B1800" s="5"/>
      <c r="C1800" s="5"/>
      <c r="D1800" s="23"/>
      <c r="E1800" s="5"/>
      <c r="F1800" s="5"/>
      <c r="G1800" s="31">
        <f>IF($B1800="","",IFERROR(INDEX(Settings!$B$41:$B$55,MATCH($B1800,Settings!$A$41:$A$55,0)),"Check category"))</f>
      </c>
    </row>
    <row r="1801" spans="1:7" x14ac:dyDescent="0.25">
      <c r="A1801" s="22"/>
      <c r="B1801" s="5"/>
      <c r="C1801" s="5"/>
      <c r="D1801" s="23"/>
      <c r="E1801" s="5"/>
      <c r="F1801" s="5"/>
      <c r="G1801" s="31">
        <f>IF($B1801="","",IFERROR(INDEX(Settings!$B$41:$B$55,MATCH($B1801,Settings!$A$41:$A$55,0)),"Check category"))</f>
      </c>
    </row>
    <row r="1802" spans="1:7" x14ac:dyDescent="0.25">
      <c r="A1802" s="22"/>
      <c r="B1802" s="5"/>
      <c r="C1802" s="5"/>
      <c r="D1802" s="23"/>
      <c r="E1802" s="5"/>
      <c r="F1802" s="5"/>
      <c r="G1802" s="31">
        <f>IF($B1802="","",IFERROR(INDEX(Settings!$B$41:$B$55,MATCH($B1802,Settings!$A$41:$A$55,0)),"Check category"))</f>
      </c>
    </row>
    <row r="1803" spans="1:7" x14ac:dyDescent="0.25">
      <c r="A1803" s="22"/>
      <c r="B1803" s="5"/>
      <c r="C1803" s="5"/>
      <c r="D1803" s="23"/>
      <c r="E1803" s="5"/>
      <c r="F1803" s="5"/>
      <c r="G1803" s="31">
        <f>IF($B1803="","",IFERROR(INDEX(Settings!$B$41:$B$55,MATCH($B1803,Settings!$A$41:$A$55,0)),"Check category"))</f>
      </c>
    </row>
    <row r="1804" spans="1:7" x14ac:dyDescent="0.25">
      <c r="A1804" s="22"/>
      <c r="B1804" s="5"/>
      <c r="C1804" s="5"/>
      <c r="D1804" s="23"/>
      <c r="E1804" s="5"/>
      <c r="F1804" s="5"/>
      <c r="G1804" s="31">
        <f>IF($B1804="","",IFERROR(INDEX(Settings!$B$41:$B$55,MATCH($B1804,Settings!$A$41:$A$55,0)),"Check category"))</f>
      </c>
    </row>
    <row r="1805" spans="1:7" x14ac:dyDescent="0.25">
      <c r="A1805" s="22"/>
      <c r="B1805" s="5"/>
      <c r="C1805" s="5"/>
      <c r="D1805" s="23"/>
      <c r="E1805" s="5"/>
      <c r="F1805" s="5"/>
      <c r="G1805" s="31">
        <f>IF($B1805="","",IFERROR(INDEX(Settings!$B$41:$B$55,MATCH($B1805,Settings!$A$41:$A$55,0)),"Check category"))</f>
      </c>
    </row>
    <row r="1806" spans="1:7" x14ac:dyDescent="0.25">
      <c r="A1806" s="22"/>
      <c r="B1806" s="5"/>
      <c r="C1806" s="5"/>
      <c r="D1806" s="23"/>
      <c r="E1806" s="5"/>
      <c r="F1806" s="5"/>
      <c r="G1806" s="31">
        <f>IF($B1806="","",IFERROR(INDEX(Settings!$B$41:$B$55,MATCH($B1806,Settings!$A$41:$A$55,0)),"Check category"))</f>
      </c>
    </row>
    <row r="1807" spans="1:7" x14ac:dyDescent="0.25">
      <c r="A1807" s="22"/>
      <c r="B1807" s="5"/>
      <c r="C1807" s="5"/>
      <c r="D1807" s="23"/>
      <c r="E1807" s="5"/>
      <c r="F1807" s="5"/>
      <c r="G1807" s="31">
        <f>IF($B1807="","",IFERROR(INDEX(Settings!$B$41:$B$55,MATCH($B1807,Settings!$A$41:$A$55,0)),"Check category"))</f>
      </c>
    </row>
    <row r="1808" spans="1:7" x14ac:dyDescent="0.25">
      <c r="A1808" s="22"/>
      <c r="B1808" s="5"/>
      <c r="C1808" s="5"/>
      <c r="D1808" s="23"/>
      <c r="E1808" s="5"/>
      <c r="F1808" s="5"/>
      <c r="G1808" s="31">
        <f>IF($B1808="","",IFERROR(INDEX(Settings!$B$41:$B$55,MATCH($B1808,Settings!$A$41:$A$55,0)),"Check category"))</f>
      </c>
    </row>
    <row r="1809" spans="1:7" x14ac:dyDescent="0.25">
      <c r="A1809" s="22"/>
      <c r="B1809" s="5"/>
      <c r="C1809" s="5"/>
      <c r="D1809" s="23"/>
      <c r="E1809" s="5"/>
      <c r="F1809" s="5"/>
      <c r="G1809" s="31">
        <f>IF($B1809="","",IFERROR(INDEX(Settings!$B$41:$B$55,MATCH($B1809,Settings!$A$41:$A$55,0)),"Check category"))</f>
      </c>
    </row>
    <row r="1810" spans="1:7" x14ac:dyDescent="0.25">
      <c r="A1810" s="22"/>
      <c r="B1810" s="5"/>
      <c r="C1810" s="5"/>
      <c r="D1810" s="23"/>
      <c r="E1810" s="5"/>
      <c r="F1810" s="5"/>
      <c r="G1810" s="31">
        <f>IF($B1810="","",IFERROR(INDEX(Settings!$B$41:$B$55,MATCH($B1810,Settings!$A$41:$A$55,0)),"Check category"))</f>
      </c>
    </row>
    <row r="1811" spans="1:7" x14ac:dyDescent="0.25">
      <c r="A1811" s="22"/>
      <c r="B1811" s="5"/>
      <c r="C1811" s="5"/>
      <c r="D1811" s="23"/>
      <c r="E1811" s="5"/>
      <c r="F1811" s="5"/>
      <c r="G1811" s="31">
        <f>IF($B1811="","",IFERROR(INDEX(Settings!$B$41:$B$55,MATCH($B1811,Settings!$A$41:$A$55,0)),"Check category"))</f>
      </c>
    </row>
    <row r="1812" spans="1:7" x14ac:dyDescent="0.25">
      <c r="A1812" s="22"/>
      <c r="B1812" s="5"/>
      <c r="C1812" s="5"/>
      <c r="D1812" s="23"/>
      <c r="E1812" s="5"/>
      <c r="F1812" s="5"/>
      <c r="G1812" s="31">
        <f>IF($B1812="","",IFERROR(INDEX(Settings!$B$41:$B$55,MATCH($B1812,Settings!$A$41:$A$55,0)),"Check category"))</f>
      </c>
    </row>
    <row r="1813" spans="1:7" x14ac:dyDescent="0.25">
      <c r="A1813" s="22"/>
      <c r="B1813" s="5"/>
      <c r="C1813" s="5"/>
      <c r="D1813" s="23"/>
      <c r="E1813" s="5"/>
      <c r="F1813" s="5"/>
      <c r="G1813" s="31">
        <f>IF($B1813="","",IFERROR(INDEX(Settings!$B$41:$B$55,MATCH($B1813,Settings!$A$41:$A$55,0)),"Check category"))</f>
      </c>
    </row>
    <row r="1814" spans="1:7" x14ac:dyDescent="0.25">
      <c r="A1814" s="22"/>
      <c r="B1814" s="5"/>
      <c r="C1814" s="5"/>
      <c r="D1814" s="23"/>
      <c r="E1814" s="5"/>
      <c r="F1814" s="5"/>
      <c r="G1814" s="31">
        <f>IF($B1814="","",IFERROR(INDEX(Settings!$B$41:$B$55,MATCH($B1814,Settings!$A$41:$A$55,0)),"Check category"))</f>
      </c>
    </row>
    <row r="1815" spans="1:7" x14ac:dyDescent="0.25">
      <c r="A1815" s="22"/>
      <c r="B1815" s="5"/>
      <c r="C1815" s="5"/>
      <c r="D1815" s="23"/>
      <c r="E1815" s="5"/>
      <c r="F1815" s="5"/>
      <c r="G1815" s="31">
        <f>IF($B1815="","",IFERROR(INDEX(Settings!$B$41:$B$55,MATCH($B1815,Settings!$A$41:$A$55,0)),"Check category"))</f>
      </c>
    </row>
    <row r="1816" spans="1:7" x14ac:dyDescent="0.25">
      <c r="A1816" s="22"/>
      <c r="B1816" s="5"/>
      <c r="C1816" s="5"/>
      <c r="D1816" s="23"/>
      <c r="E1816" s="5"/>
      <c r="F1816" s="5"/>
      <c r="G1816" s="31">
        <f>IF($B1816="","",IFERROR(INDEX(Settings!$B$41:$B$55,MATCH($B1816,Settings!$A$41:$A$55,0)),"Check category"))</f>
      </c>
    </row>
    <row r="1817" spans="1:7" x14ac:dyDescent="0.25">
      <c r="A1817" s="22"/>
      <c r="B1817" s="5"/>
      <c r="C1817" s="5"/>
      <c r="D1817" s="23"/>
      <c r="E1817" s="5"/>
      <c r="F1817" s="5"/>
      <c r="G1817" s="31">
        <f>IF($B1817="","",IFERROR(INDEX(Settings!$B$41:$B$55,MATCH($B1817,Settings!$A$41:$A$55,0)),"Check category"))</f>
      </c>
    </row>
    <row r="1818" spans="1:7" x14ac:dyDescent="0.25">
      <c r="A1818" s="22"/>
      <c r="B1818" s="5"/>
      <c r="C1818" s="5"/>
      <c r="D1818" s="23"/>
      <c r="E1818" s="5"/>
      <c r="F1818" s="5"/>
      <c r="G1818" s="31">
        <f>IF($B1818="","",IFERROR(INDEX(Settings!$B$41:$B$55,MATCH($B1818,Settings!$A$41:$A$55,0)),"Check category"))</f>
      </c>
    </row>
    <row r="1819" spans="1:7" x14ac:dyDescent="0.25">
      <c r="A1819" s="22"/>
      <c r="B1819" s="5"/>
      <c r="C1819" s="5"/>
      <c r="D1819" s="23"/>
      <c r="E1819" s="5"/>
      <c r="F1819" s="5"/>
      <c r="G1819" s="31">
        <f>IF($B1819="","",IFERROR(INDEX(Settings!$B$41:$B$55,MATCH($B1819,Settings!$A$41:$A$55,0)),"Check category"))</f>
      </c>
    </row>
    <row r="1820" spans="1:7" x14ac:dyDescent="0.25">
      <c r="A1820" s="22"/>
      <c r="B1820" s="5"/>
      <c r="C1820" s="5"/>
      <c r="D1820" s="23"/>
      <c r="E1820" s="5"/>
      <c r="F1820" s="5"/>
      <c r="G1820" s="31">
        <f>IF($B1820="","",IFERROR(INDEX(Settings!$B$41:$B$55,MATCH($B1820,Settings!$A$41:$A$55,0)),"Check category"))</f>
      </c>
    </row>
    <row r="1821" spans="1:7" x14ac:dyDescent="0.25">
      <c r="A1821" s="22"/>
      <c r="B1821" s="5"/>
      <c r="C1821" s="5"/>
      <c r="D1821" s="23"/>
      <c r="E1821" s="5"/>
      <c r="F1821" s="5"/>
      <c r="G1821" s="31">
        <f>IF($B1821="","",IFERROR(INDEX(Settings!$B$41:$B$55,MATCH($B1821,Settings!$A$41:$A$55,0)),"Check category"))</f>
      </c>
    </row>
    <row r="1822" spans="1:7" x14ac:dyDescent="0.25">
      <c r="A1822" s="22"/>
      <c r="B1822" s="5"/>
      <c r="C1822" s="5"/>
      <c r="D1822" s="23"/>
      <c r="E1822" s="5"/>
      <c r="F1822" s="5"/>
      <c r="G1822" s="31">
        <f>IF($B1822="","",IFERROR(INDEX(Settings!$B$41:$B$55,MATCH($B1822,Settings!$A$41:$A$55,0)),"Check category"))</f>
      </c>
    </row>
    <row r="1823" spans="1:7" x14ac:dyDescent="0.25">
      <c r="A1823" s="22"/>
      <c r="B1823" s="5"/>
      <c r="C1823" s="5"/>
      <c r="D1823" s="23"/>
      <c r="E1823" s="5"/>
      <c r="F1823" s="5"/>
      <c r="G1823" s="31">
        <f>IF($B1823="","",IFERROR(INDEX(Settings!$B$41:$B$55,MATCH($B1823,Settings!$A$41:$A$55,0)),"Check category"))</f>
      </c>
    </row>
    <row r="1824" spans="1:7" x14ac:dyDescent="0.25">
      <c r="A1824" s="22"/>
      <c r="B1824" s="5"/>
      <c r="C1824" s="5"/>
      <c r="D1824" s="23"/>
      <c r="E1824" s="5"/>
      <c r="F1824" s="5"/>
      <c r="G1824" s="31">
        <f>IF($B1824="","",IFERROR(INDEX(Settings!$B$41:$B$55,MATCH($B1824,Settings!$A$41:$A$55,0)),"Check category"))</f>
      </c>
    </row>
    <row r="1825" spans="1:7" x14ac:dyDescent="0.25">
      <c r="A1825" s="22"/>
      <c r="B1825" s="5"/>
      <c r="C1825" s="5"/>
      <c r="D1825" s="23"/>
      <c r="E1825" s="5"/>
      <c r="F1825" s="5"/>
      <c r="G1825" s="31">
        <f>IF($B1825="","",IFERROR(INDEX(Settings!$B$41:$B$55,MATCH($B1825,Settings!$A$41:$A$55,0)),"Check category"))</f>
      </c>
    </row>
    <row r="1826" spans="1:7" x14ac:dyDescent="0.25">
      <c r="A1826" s="22"/>
      <c r="B1826" s="5"/>
      <c r="C1826" s="5"/>
      <c r="D1826" s="23"/>
      <c r="E1826" s="5"/>
      <c r="F1826" s="5"/>
      <c r="G1826" s="31">
        <f>IF($B1826="","",IFERROR(INDEX(Settings!$B$41:$B$55,MATCH($B1826,Settings!$A$41:$A$55,0)),"Check category"))</f>
      </c>
    </row>
    <row r="1827" spans="1:7" x14ac:dyDescent="0.25">
      <c r="A1827" s="22"/>
      <c r="B1827" s="5"/>
      <c r="C1827" s="5"/>
      <c r="D1827" s="23"/>
      <c r="E1827" s="5"/>
      <c r="F1827" s="5"/>
      <c r="G1827" s="31">
        <f>IF($B1827="","",IFERROR(INDEX(Settings!$B$41:$B$55,MATCH($B1827,Settings!$A$41:$A$55,0)),"Check category"))</f>
      </c>
    </row>
    <row r="1828" spans="1:7" x14ac:dyDescent="0.25">
      <c r="A1828" s="22"/>
      <c r="B1828" s="5"/>
      <c r="C1828" s="5"/>
      <c r="D1828" s="23"/>
      <c r="E1828" s="5"/>
      <c r="F1828" s="5"/>
      <c r="G1828" s="31">
        <f>IF($B1828="","",IFERROR(INDEX(Settings!$B$41:$B$55,MATCH($B1828,Settings!$A$41:$A$55,0)),"Check category"))</f>
      </c>
    </row>
    <row r="1829" spans="1:7" x14ac:dyDescent="0.25">
      <c r="A1829" s="22"/>
      <c r="B1829" s="5"/>
      <c r="C1829" s="5"/>
      <c r="D1829" s="23"/>
      <c r="E1829" s="5"/>
      <c r="F1829" s="5"/>
      <c r="G1829" s="31">
        <f>IF($B1829="","",IFERROR(INDEX(Settings!$B$41:$B$55,MATCH($B1829,Settings!$A$41:$A$55,0)),"Check category"))</f>
      </c>
    </row>
    <row r="1830" spans="1:7" x14ac:dyDescent="0.25">
      <c r="A1830" s="22"/>
      <c r="B1830" s="5"/>
      <c r="C1830" s="5"/>
      <c r="D1830" s="23"/>
      <c r="E1830" s="5"/>
      <c r="F1830" s="5"/>
      <c r="G1830" s="31">
        <f>IF($B1830="","",IFERROR(INDEX(Settings!$B$41:$B$55,MATCH($B1830,Settings!$A$41:$A$55,0)),"Check category"))</f>
      </c>
    </row>
    <row r="1831" spans="1:7" x14ac:dyDescent="0.25">
      <c r="A1831" s="22"/>
      <c r="B1831" s="5"/>
      <c r="C1831" s="5"/>
      <c r="D1831" s="23"/>
      <c r="E1831" s="5"/>
      <c r="F1831" s="5"/>
      <c r="G1831" s="31">
        <f>IF($B1831="","",IFERROR(INDEX(Settings!$B$41:$B$55,MATCH($B1831,Settings!$A$41:$A$55,0)),"Check category"))</f>
      </c>
    </row>
    <row r="1832" spans="1:7" x14ac:dyDescent="0.25">
      <c r="A1832" s="22"/>
      <c r="B1832" s="5"/>
      <c r="C1832" s="5"/>
      <c r="D1832" s="23"/>
      <c r="E1832" s="5"/>
      <c r="F1832" s="5"/>
      <c r="G1832" s="31">
        <f>IF($B1832="","",IFERROR(INDEX(Settings!$B$41:$B$55,MATCH($B1832,Settings!$A$41:$A$55,0)),"Check category"))</f>
      </c>
    </row>
    <row r="1833" spans="1:7" x14ac:dyDescent="0.25">
      <c r="A1833" s="22"/>
      <c r="B1833" s="5"/>
      <c r="C1833" s="5"/>
      <c r="D1833" s="23"/>
      <c r="E1833" s="5"/>
      <c r="F1833" s="5"/>
      <c r="G1833" s="31">
        <f>IF($B1833="","",IFERROR(INDEX(Settings!$B$41:$B$55,MATCH($B1833,Settings!$A$41:$A$55,0)),"Check category"))</f>
      </c>
    </row>
    <row r="1834" spans="1:7" x14ac:dyDescent="0.25">
      <c r="A1834" s="22"/>
      <c r="B1834" s="5"/>
      <c r="C1834" s="5"/>
      <c r="D1834" s="23"/>
      <c r="E1834" s="5"/>
      <c r="F1834" s="5"/>
      <c r="G1834" s="31">
        <f>IF($B1834="","",IFERROR(INDEX(Settings!$B$41:$B$55,MATCH($B1834,Settings!$A$41:$A$55,0)),"Check category"))</f>
      </c>
    </row>
    <row r="1835" spans="1:7" x14ac:dyDescent="0.25">
      <c r="A1835" s="22"/>
      <c r="B1835" s="5"/>
      <c r="C1835" s="5"/>
      <c r="D1835" s="23"/>
      <c r="E1835" s="5"/>
      <c r="F1835" s="5"/>
      <c r="G1835" s="31">
        <f>IF($B1835="","",IFERROR(INDEX(Settings!$B$41:$B$55,MATCH($B1835,Settings!$A$41:$A$55,0)),"Check category"))</f>
      </c>
    </row>
    <row r="1836" spans="1:7" x14ac:dyDescent="0.25">
      <c r="A1836" s="22"/>
      <c r="B1836" s="5"/>
      <c r="C1836" s="5"/>
      <c r="D1836" s="23"/>
      <c r="E1836" s="5"/>
      <c r="F1836" s="5"/>
      <c r="G1836" s="31">
        <f>IF($B1836="","",IFERROR(INDEX(Settings!$B$41:$B$55,MATCH($B1836,Settings!$A$41:$A$55,0)),"Check category"))</f>
      </c>
    </row>
    <row r="1837" spans="1:7" x14ac:dyDescent="0.25">
      <c r="A1837" s="22"/>
      <c r="B1837" s="5"/>
      <c r="C1837" s="5"/>
      <c r="D1837" s="23"/>
      <c r="E1837" s="5"/>
      <c r="F1837" s="5"/>
      <c r="G1837" s="31">
        <f>IF($B1837="","",IFERROR(INDEX(Settings!$B$41:$B$55,MATCH($B1837,Settings!$A$41:$A$55,0)),"Check category"))</f>
      </c>
    </row>
    <row r="1838" spans="1:7" x14ac:dyDescent="0.25">
      <c r="A1838" s="22"/>
      <c r="B1838" s="5"/>
      <c r="C1838" s="5"/>
      <c r="D1838" s="23"/>
      <c r="E1838" s="5"/>
      <c r="F1838" s="5"/>
      <c r="G1838" s="31">
        <f>IF($B1838="","",IFERROR(INDEX(Settings!$B$41:$B$55,MATCH($B1838,Settings!$A$41:$A$55,0)),"Check category"))</f>
      </c>
    </row>
    <row r="1839" spans="1:7" x14ac:dyDescent="0.25">
      <c r="A1839" s="22"/>
      <c r="B1839" s="5"/>
      <c r="C1839" s="5"/>
      <c r="D1839" s="23"/>
      <c r="E1839" s="5"/>
      <c r="F1839" s="5"/>
      <c r="G1839" s="31">
        <f>IF($B1839="","",IFERROR(INDEX(Settings!$B$41:$B$55,MATCH($B1839,Settings!$A$41:$A$55,0)),"Check category"))</f>
      </c>
    </row>
    <row r="1840" spans="1:7" x14ac:dyDescent="0.25">
      <c r="A1840" s="22"/>
      <c r="B1840" s="5"/>
      <c r="C1840" s="5"/>
      <c r="D1840" s="23"/>
      <c r="E1840" s="5"/>
      <c r="F1840" s="5"/>
      <c r="G1840" s="31">
        <f>IF($B1840="","",IFERROR(INDEX(Settings!$B$41:$B$55,MATCH($B1840,Settings!$A$41:$A$55,0)),"Check category"))</f>
      </c>
    </row>
    <row r="1841" spans="1:7" x14ac:dyDescent="0.25">
      <c r="A1841" s="22"/>
      <c r="B1841" s="5"/>
      <c r="C1841" s="5"/>
      <c r="D1841" s="23"/>
      <c r="E1841" s="5"/>
      <c r="F1841" s="5"/>
      <c r="G1841" s="31">
        <f>IF($B1841="","",IFERROR(INDEX(Settings!$B$41:$B$55,MATCH($B1841,Settings!$A$41:$A$55,0)),"Check category"))</f>
      </c>
    </row>
    <row r="1842" spans="1:7" x14ac:dyDescent="0.25">
      <c r="A1842" s="22"/>
      <c r="B1842" s="5"/>
      <c r="C1842" s="5"/>
      <c r="D1842" s="23"/>
      <c r="E1842" s="5"/>
      <c r="F1842" s="5"/>
      <c r="G1842" s="31">
        <f>IF($B1842="","",IFERROR(INDEX(Settings!$B$41:$B$55,MATCH($B1842,Settings!$A$41:$A$55,0)),"Check category"))</f>
      </c>
    </row>
    <row r="1843" spans="1:7" x14ac:dyDescent="0.25">
      <c r="A1843" s="22"/>
      <c r="B1843" s="5"/>
      <c r="C1843" s="5"/>
      <c r="D1843" s="23"/>
      <c r="E1843" s="5"/>
      <c r="F1843" s="5"/>
      <c r="G1843" s="31">
        <f>IF($B1843="","",IFERROR(INDEX(Settings!$B$41:$B$55,MATCH($B1843,Settings!$A$41:$A$55,0)),"Check category"))</f>
      </c>
    </row>
    <row r="1844" spans="1:7" x14ac:dyDescent="0.25">
      <c r="A1844" s="22"/>
      <c r="B1844" s="5"/>
      <c r="C1844" s="5"/>
      <c r="D1844" s="23"/>
      <c r="E1844" s="5"/>
      <c r="F1844" s="5"/>
      <c r="G1844" s="31">
        <f>IF($B1844="","",IFERROR(INDEX(Settings!$B$41:$B$55,MATCH($B1844,Settings!$A$41:$A$55,0)),"Check category"))</f>
      </c>
    </row>
    <row r="1845" spans="1:7" x14ac:dyDescent="0.25">
      <c r="A1845" s="22"/>
      <c r="B1845" s="5"/>
      <c r="C1845" s="5"/>
      <c r="D1845" s="23"/>
      <c r="E1845" s="5"/>
      <c r="F1845" s="5"/>
      <c r="G1845" s="31">
        <f>IF($B1845="","",IFERROR(INDEX(Settings!$B$41:$B$55,MATCH($B1845,Settings!$A$41:$A$55,0)),"Check category"))</f>
      </c>
    </row>
    <row r="1846" spans="1:7" x14ac:dyDescent="0.25">
      <c r="A1846" s="22"/>
      <c r="B1846" s="5"/>
      <c r="C1846" s="5"/>
      <c r="D1846" s="23"/>
      <c r="E1846" s="5"/>
      <c r="F1846" s="5"/>
      <c r="G1846" s="31">
        <f>IF($B1846="","",IFERROR(INDEX(Settings!$B$41:$B$55,MATCH($B1846,Settings!$A$41:$A$55,0)),"Check category"))</f>
      </c>
    </row>
    <row r="1847" spans="1:7" x14ac:dyDescent="0.25">
      <c r="A1847" s="22"/>
      <c r="B1847" s="5"/>
      <c r="C1847" s="5"/>
      <c r="D1847" s="23"/>
      <c r="E1847" s="5"/>
      <c r="F1847" s="5"/>
      <c r="G1847" s="31">
        <f>IF($B1847="","",IFERROR(INDEX(Settings!$B$41:$B$55,MATCH($B1847,Settings!$A$41:$A$55,0)),"Check category"))</f>
      </c>
    </row>
    <row r="1848" spans="1:7" x14ac:dyDescent="0.25">
      <c r="A1848" s="22"/>
      <c r="B1848" s="5"/>
      <c r="C1848" s="5"/>
      <c r="D1848" s="23"/>
      <c r="E1848" s="5"/>
      <c r="F1848" s="5"/>
      <c r="G1848" s="31">
        <f>IF($B1848="","",IFERROR(INDEX(Settings!$B$41:$B$55,MATCH($B1848,Settings!$A$41:$A$55,0)),"Check category"))</f>
      </c>
    </row>
    <row r="1849" spans="1:7" x14ac:dyDescent="0.25">
      <c r="A1849" s="22"/>
      <c r="B1849" s="5"/>
      <c r="C1849" s="5"/>
      <c r="D1849" s="23"/>
      <c r="E1849" s="5"/>
      <c r="F1849" s="5"/>
      <c r="G1849" s="31">
        <f>IF($B1849="","",IFERROR(INDEX(Settings!$B$41:$B$55,MATCH($B1849,Settings!$A$41:$A$55,0)),"Check category"))</f>
      </c>
    </row>
    <row r="1850" spans="1:7" x14ac:dyDescent="0.25">
      <c r="A1850" s="22"/>
      <c r="B1850" s="5"/>
      <c r="C1850" s="5"/>
      <c r="D1850" s="23"/>
      <c r="E1850" s="5"/>
      <c r="F1850" s="5"/>
      <c r="G1850" s="31">
        <f>IF($B1850="","",IFERROR(INDEX(Settings!$B$41:$B$55,MATCH($B1850,Settings!$A$41:$A$55,0)),"Check category"))</f>
      </c>
    </row>
    <row r="1851" spans="1:7" x14ac:dyDescent="0.25">
      <c r="A1851" s="22"/>
      <c r="B1851" s="5"/>
      <c r="C1851" s="5"/>
      <c r="D1851" s="23"/>
      <c r="E1851" s="5"/>
      <c r="F1851" s="5"/>
      <c r="G1851" s="31">
        <f>IF($B1851="","",IFERROR(INDEX(Settings!$B$41:$B$55,MATCH($B1851,Settings!$A$41:$A$55,0)),"Check category"))</f>
      </c>
    </row>
    <row r="1852" spans="1:7" x14ac:dyDescent="0.25">
      <c r="A1852" s="22"/>
      <c r="B1852" s="5"/>
      <c r="C1852" s="5"/>
      <c r="D1852" s="23"/>
      <c r="E1852" s="5"/>
      <c r="F1852" s="5"/>
      <c r="G1852" s="31">
        <f>IF($B1852="","",IFERROR(INDEX(Settings!$B$41:$B$55,MATCH($B1852,Settings!$A$41:$A$55,0)),"Check category"))</f>
      </c>
    </row>
    <row r="1853" spans="1:7" x14ac:dyDescent="0.25">
      <c r="A1853" s="22"/>
      <c r="B1853" s="5"/>
      <c r="C1853" s="5"/>
      <c r="D1853" s="23"/>
      <c r="E1853" s="5"/>
      <c r="F1853" s="5"/>
      <c r="G1853" s="31">
        <f>IF($B1853="","",IFERROR(INDEX(Settings!$B$41:$B$55,MATCH($B1853,Settings!$A$41:$A$55,0)),"Check category"))</f>
      </c>
    </row>
    <row r="1854" spans="1:7" x14ac:dyDescent="0.25">
      <c r="A1854" s="22"/>
      <c r="B1854" s="5"/>
      <c r="C1854" s="5"/>
      <c r="D1854" s="23"/>
      <c r="E1854" s="5"/>
      <c r="F1854" s="5"/>
      <c r="G1854" s="31">
        <f>IF($B1854="","",IFERROR(INDEX(Settings!$B$41:$B$55,MATCH($B1854,Settings!$A$41:$A$55,0)),"Check category"))</f>
      </c>
    </row>
    <row r="1855" spans="1:7" x14ac:dyDescent="0.25">
      <c r="A1855" s="22"/>
      <c r="B1855" s="5"/>
      <c r="C1855" s="5"/>
      <c r="D1855" s="23"/>
      <c r="E1855" s="5"/>
      <c r="F1855" s="5"/>
      <c r="G1855" s="31">
        <f>IF($B1855="","",IFERROR(INDEX(Settings!$B$41:$B$55,MATCH($B1855,Settings!$A$41:$A$55,0)),"Check category"))</f>
      </c>
    </row>
    <row r="1856" spans="1:7" x14ac:dyDescent="0.25">
      <c r="A1856" s="22"/>
      <c r="B1856" s="5"/>
      <c r="C1856" s="5"/>
      <c r="D1856" s="23"/>
      <c r="E1856" s="5"/>
      <c r="F1856" s="5"/>
      <c r="G1856" s="31">
        <f>IF($B1856="","",IFERROR(INDEX(Settings!$B$41:$B$55,MATCH($B1856,Settings!$A$41:$A$55,0)),"Check category"))</f>
      </c>
    </row>
    <row r="1857" spans="1:7" x14ac:dyDescent="0.25">
      <c r="A1857" s="22"/>
      <c r="B1857" s="5"/>
      <c r="C1857" s="5"/>
      <c r="D1857" s="23"/>
      <c r="E1857" s="5"/>
      <c r="F1857" s="5"/>
      <c r="G1857" s="31">
        <f>IF($B1857="","",IFERROR(INDEX(Settings!$B$41:$B$55,MATCH($B1857,Settings!$A$41:$A$55,0)),"Check category"))</f>
      </c>
    </row>
    <row r="1858" spans="1:7" x14ac:dyDescent="0.25">
      <c r="A1858" s="22"/>
      <c r="B1858" s="5"/>
      <c r="C1858" s="5"/>
      <c r="D1858" s="23"/>
      <c r="E1858" s="5"/>
      <c r="F1858" s="5"/>
      <c r="G1858" s="31">
        <f>IF($B1858="","",IFERROR(INDEX(Settings!$B$41:$B$55,MATCH($B1858,Settings!$A$41:$A$55,0)),"Check category"))</f>
      </c>
    </row>
    <row r="1859" spans="1:7" x14ac:dyDescent="0.25">
      <c r="A1859" s="22"/>
      <c r="B1859" s="5"/>
      <c r="C1859" s="5"/>
      <c r="D1859" s="23"/>
      <c r="E1859" s="5"/>
      <c r="F1859" s="5"/>
      <c r="G1859" s="31">
        <f>IF($B1859="","",IFERROR(INDEX(Settings!$B$41:$B$55,MATCH($B1859,Settings!$A$41:$A$55,0)),"Check category"))</f>
      </c>
    </row>
    <row r="1860" spans="1:7" x14ac:dyDescent="0.25">
      <c r="A1860" s="22"/>
      <c r="B1860" s="5"/>
      <c r="C1860" s="5"/>
      <c r="D1860" s="23"/>
      <c r="E1860" s="5"/>
      <c r="F1860" s="5"/>
      <c r="G1860" s="31">
        <f>IF($B1860="","",IFERROR(INDEX(Settings!$B$41:$B$55,MATCH($B1860,Settings!$A$41:$A$55,0)),"Check category"))</f>
      </c>
    </row>
    <row r="1861" spans="1:7" x14ac:dyDescent="0.25">
      <c r="A1861" s="22"/>
      <c r="B1861" s="5"/>
      <c r="C1861" s="5"/>
      <c r="D1861" s="23"/>
      <c r="E1861" s="5"/>
      <c r="F1861" s="5"/>
      <c r="G1861" s="31">
        <f>IF($B1861="","",IFERROR(INDEX(Settings!$B$41:$B$55,MATCH($B1861,Settings!$A$41:$A$55,0)),"Check category"))</f>
      </c>
    </row>
    <row r="1862" spans="1:7" x14ac:dyDescent="0.25">
      <c r="A1862" s="22"/>
      <c r="B1862" s="5"/>
      <c r="C1862" s="5"/>
      <c r="D1862" s="23"/>
      <c r="E1862" s="5"/>
      <c r="F1862" s="5"/>
      <c r="G1862" s="31">
        <f>IF($B1862="","",IFERROR(INDEX(Settings!$B$41:$B$55,MATCH($B1862,Settings!$A$41:$A$55,0)),"Check category"))</f>
      </c>
    </row>
    <row r="1863" spans="1:7" x14ac:dyDescent="0.25">
      <c r="A1863" s="22"/>
      <c r="B1863" s="5"/>
      <c r="C1863" s="5"/>
      <c r="D1863" s="23"/>
      <c r="E1863" s="5"/>
      <c r="F1863" s="5"/>
      <c r="G1863" s="31">
        <f>IF($B1863="","",IFERROR(INDEX(Settings!$B$41:$B$55,MATCH($B1863,Settings!$A$41:$A$55,0)),"Check category"))</f>
      </c>
    </row>
    <row r="1864" spans="1:7" x14ac:dyDescent="0.25">
      <c r="A1864" s="22"/>
      <c r="B1864" s="5"/>
      <c r="C1864" s="5"/>
      <c r="D1864" s="23"/>
      <c r="E1864" s="5"/>
      <c r="F1864" s="5"/>
      <c r="G1864" s="31">
        <f>IF($B1864="","",IFERROR(INDEX(Settings!$B$41:$B$55,MATCH($B1864,Settings!$A$41:$A$55,0)),"Check category"))</f>
      </c>
    </row>
    <row r="1865" spans="1:7" x14ac:dyDescent="0.25">
      <c r="A1865" s="22"/>
      <c r="B1865" s="5"/>
      <c r="C1865" s="5"/>
      <c r="D1865" s="23"/>
      <c r="E1865" s="5"/>
      <c r="F1865" s="5"/>
      <c r="G1865" s="31">
        <f>IF($B1865="","",IFERROR(INDEX(Settings!$B$41:$B$55,MATCH($B1865,Settings!$A$41:$A$55,0)),"Check category"))</f>
      </c>
    </row>
    <row r="1866" spans="1:7" x14ac:dyDescent="0.25">
      <c r="A1866" s="22"/>
      <c r="B1866" s="5"/>
      <c r="C1866" s="5"/>
      <c r="D1866" s="23"/>
      <c r="E1866" s="5"/>
      <c r="F1866" s="5"/>
      <c r="G1866" s="31">
        <f>IF($B1866="","",IFERROR(INDEX(Settings!$B$41:$B$55,MATCH($B1866,Settings!$A$41:$A$55,0)),"Check category"))</f>
      </c>
    </row>
    <row r="1867" spans="1:7" x14ac:dyDescent="0.25">
      <c r="A1867" s="22"/>
      <c r="B1867" s="5"/>
      <c r="C1867" s="5"/>
      <c r="D1867" s="23"/>
      <c r="E1867" s="5"/>
      <c r="F1867" s="5"/>
      <c r="G1867" s="31">
        <f>IF($B1867="","",IFERROR(INDEX(Settings!$B$41:$B$55,MATCH($B1867,Settings!$A$41:$A$55,0)),"Check category"))</f>
      </c>
    </row>
    <row r="1868" spans="1:7" x14ac:dyDescent="0.25">
      <c r="A1868" s="22"/>
      <c r="B1868" s="5"/>
      <c r="C1868" s="5"/>
      <c r="D1868" s="23"/>
      <c r="E1868" s="5"/>
      <c r="F1868" s="5"/>
      <c r="G1868" s="31">
        <f>IF($B1868="","",IFERROR(INDEX(Settings!$B$41:$B$55,MATCH($B1868,Settings!$A$41:$A$55,0)),"Check category"))</f>
      </c>
    </row>
    <row r="1869" spans="1:7" x14ac:dyDescent="0.25">
      <c r="A1869" s="22"/>
      <c r="B1869" s="5"/>
      <c r="C1869" s="5"/>
      <c r="D1869" s="23"/>
      <c r="E1869" s="5"/>
      <c r="F1869" s="5"/>
      <c r="G1869" s="31">
        <f>IF($B1869="","",IFERROR(INDEX(Settings!$B$41:$B$55,MATCH($B1869,Settings!$A$41:$A$55,0)),"Check category"))</f>
      </c>
    </row>
    <row r="1870" spans="1:7" x14ac:dyDescent="0.25">
      <c r="A1870" s="22"/>
      <c r="B1870" s="5"/>
      <c r="C1870" s="5"/>
      <c r="D1870" s="23"/>
      <c r="E1870" s="5"/>
      <c r="F1870" s="5"/>
      <c r="G1870" s="31">
        <f>IF($B1870="","",IFERROR(INDEX(Settings!$B$41:$B$55,MATCH($B1870,Settings!$A$41:$A$55,0)),"Check category"))</f>
      </c>
    </row>
    <row r="1871" spans="1:7" x14ac:dyDescent="0.25">
      <c r="A1871" s="22"/>
      <c r="B1871" s="5"/>
      <c r="C1871" s="5"/>
      <c r="D1871" s="23"/>
      <c r="E1871" s="5"/>
      <c r="F1871" s="5"/>
      <c r="G1871" s="31">
        <f>IF($B1871="","",IFERROR(INDEX(Settings!$B$41:$B$55,MATCH($B1871,Settings!$A$41:$A$55,0)),"Check category"))</f>
      </c>
    </row>
    <row r="1872" spans="1:7" x14ac:dyDescent="0.25">
      <c r="A1872" s="22"/>
      <c r="B1872" s="5"/>
      <c r="C1872" s="5"/>
      <c r="D1872" s="23"/>
      <c r="E1872" s="5"/>
      <c r="F1872" s="5"/>
      <c r="G1872" s="31">
        <f>IF($B1872="","",IFERROR(INDEX(Settings!$B$41:$B$55,MATCH($B1872,Settings!$A$41:$A$55,0)),"Check category"))</f>
      </c>
    </row>
    <row r="1873" spans="1:7" x14ac:dyDescent="0.25">
      <c r="A1873" s="22"/>
      <c r="B1873" s="5"/>
      <c r="C1873" s="5"/>
      <c r="D1873" s="23"/>
      <c r="E1873" s="5"/>
      <c r="F1873" s="5"/>
      <c r="G1873" s="31">
        <f>IF($B1873="","",IFERROR(INDEX(Settings!$B$41:$B$55,MATCH($B1873,Settings!$A$41:$A$55,0)),"Check category"))</f>
      </c>
    </row>
    <row r="1874" spans="1:7" x14ac:dyDescent="0.25">
      <c r="A1874" s="22"/>
      <c r="B1874" s="5"/>
      <c r="C1874" s="5"/>
      <c r="D1874" s="23"/>
      <c r="E1874" s="5"/>
      <c r="F1874" s="5"/>
      <c r="G1874" s="31">
        <f>IF($B1874="","",IFERROR(INDEX(Settings!$B$41:$B$55,MATCH($B1874,Settings!$A$41:$A$55,0)),"Check category"))</f>
      </c>
    </row>
    <row r="1875" spans="1:7" x14ac:dyDescent="0.25">
      <c r="A1875" s="22"/>
      <c r="B1875" s="5"/>
      <c r="C1875" s="5"/>
      <c r="D1875" s="23"/>
      <c r="E1875" s="5"/>
      <c r="F1875" s="5"/>
      <c r="G1875" s="31">
        <f>IF($B1875="","",IFERROR(INDEX(Settings!$B$41:$B$55,MATCH($B1875,Settings!$A$41:$A$55,0)),"Check category"))</f>
      </c>
    </row>
    <row r="1876" spans="1:7" x14ac:dyDescent="0.25">
      <c r="A1876" s="22"/>
      <c r="B1876" s="5"/>
      <c r="C1876" s="5"/>
      <c r="D1876" s="23"/>
      <c r="E1876" s="5"/>
      <c r="F1876" s="5"/>
      <c r="G1876" s="31">
        <f>IF($B1876="","",IFERROR(INDEX(Settings!$B$41:$B$55,MATCH($B1876,Settings!$A$41:$A$55,0)),"Check category"))</f>
      </c>
    </row>
    <row r="1877" spans="1:7" x14ac:dyDescent="0.25">
      <c r="A1877" s="22"/>
      <c r="B1877" s="5"/>
      <c r="C1877" s="5"/>
      <c r="D1877" s="23"/>
      <c r="E1877" s="5"/>
      <c r="F1877" s="5"/>
      <c r="G1877" s="31">
        <f>IF($B1877="","",IFERROR(INDEX(Settings!$B$41:$B$55,MATCH($B1877,Settings!$A$41:$A$55,0)),"Check category"))</f>
      </c>
    </row>
    <row r="1878" spans="1:7" x14ac:dyDescent="0.25">
      <c r="A1878" s="22"/>
      <c r="B1878" s="5"/>
      <c r="C1878" s="5"/>
      <c r="D1878" s="23"/>
      <c r="E1878" s="5"/>
      <c r="F1878" s="5"/>
      <c r="G1878" s="31">
        <f>IF($B1878="","",IFERROR(INDEX(Settings!$B$41:$B$55,MATCH($B1878,Settings!$A$41:$A$55,0)),"Check category"))</f>
      </c>
    </row>
    <row r="1879" spans="1:7" x14ac:dyDescent="0.25">
      <c r="A1879" s="22"/>
      <c r="B1879" s="5"/>
      <c r="C1879" s="5"/>
      <c r="D1879" s="23"/>
      <c r="E1879" s="5"/>
      <c r="F1879" s="5"/>
      <c r="G1879" s="31">
        <f>IF($B1879="","",IFERROR(INDEX(Settings!$B$41:$B$55,MATCH($B1879,Settings!$A$41:$A$55,0)),"Check category"))</f>
      </c>
    </row>
    <row r="1880" spans="1:7" x14ac:dyDescent="0.25">
      <c r="A1880" s="22"/>
      <c r="B1880" s="5"/>
      <c r="C1880" s="5"/>
      <c r="D1880" s="23"/>
      <c r="E1880" s="5"/>
      <c r="F1880" s="5"/>
      <c r="G1880" s="31">
        <f>IF($B1880="","",IFERROR(INDEX(Settings!$B$41:$B$55,MATCH($B1880,Settings!$A$41:$A$55,0)),"Check category"))</f>
      </c>
    </row>
    <row r="1881" spans="1:7" x14ac:dyDescent="0.25">
      <c r="A1881" s="22"/>
      <c r="B1881" s="5"/>
      <c r="C1881" s="5"/>
      <c r="D1881" s="23"/>
      <c r="E1881" s="5"/>
      <c r="F1881" s="5"/>
      <c r="G1881" s="31">
        <f>IF($B1881="","",IFERROR(INDEX(Settings!$B$41:$B$55,MATCH($B1881,Settings!$A$41:$A$55,0)),"Check category"))</f>
      </c>
    </row>
    <row r="1882" spans="1:7" x14ac:dyDescent="0.25">
      <c r="A1882" s="22"/>
      <c r="B1882" s="5"/>
      <c r="C1882" s="5"/>
      <c r="D1882" s="23"/>
      <c r="E1882" s="5"/>
      <c r="F1882" s="5"/>
      <c r="G1882" s="31">
        <f>IF($B1882="","",IFERROR(INDEX(Settings!$B$41:$B$55,MATCH($B1882,Settings!$A$41:$A$55,0)),"Check category"))</f>
      </c>
    </row>
    <row r="1883" spans="1:7" x14ac:dyDescent="0.25">
      <c r="A1883" s="22"/>
      <c r="B1883" s="5"/>
      <c r="C1883" s="5"/>
      <c r="D1883" s="23"/>
      <c r="E1883" s="5"/>
      <c r="F1883" s="5"/>
      <c r="G1883" s="31">
        <f>IF($B1883="","",IFERROR(INDEX(Settings!$B$41:$B$55,MATCH($B1883,Settings!$A$41:$A$55,0)),"Check category"))</f>
      </c>
    </row>
    <row r="1884" spans="1:7" x14ac:dyDescent="0.25">
      <c r="A1884" s="22"/>
      <c r="B1884" s="5"/>
      <c r="C1884" s="5"/>
      <c r="D1884" s="23"/>
      <c r="E1884" s="5"/>
      <c r="F1884" s="5"/>
      <c r="G1884" s="31">
        <f>IF($B1884="","",IFERROR(INDEX(Settings!$B$41:$B$55,MATCH($B1884,Settings!$A$41:$A$55,0)),"Check category"))</f>
      </c>
    </row>
    <row r="1885" spans="1:7" x14ac:dyDescent="0.25">
      <c r="A1885" s="22"/>
      <c r="B1885" s="5"/>
      <c r="C1885" s="5"/>
      <c r="D1885" s="23"/>
      <c r="E1885" s="5"/>
      <c r="F1885" s="5"/>
      <c r="G1885" s="31">
        <f>IF($B1885="","",IFERROR(INDEX(Settings!$B$41:$B$55,MATCH($B1885,Settings!$A$41:$A$55,0)),"Check category"))</f>
      </c>
    </row>
    <row r="1886" spans="1:7" x14ac:dyDescent="0.25">
      <c r="A1886" s="22"/>
      <c r="B1886" s="5"/>
      <c r="C1886" s="5"/>
      <c r="D1886" s="23"/>
      <c r="E1886" s="5"/>
      <c r="F1886" s="5"/>
      <c r="G1886" s="31">
        <f>IF($B1886="","",IFERROR(INDEX(Settings!$B$41:$B$55,MATCH($B1886,Settings!$A$41:$A$55,0)),"Check category"))</f>
      </c>
    </row>
    <row r="1887" spans="1:7" x14ac:dyDescent="0.25">
      <c r="A1887" s="22"/>
      <c r="B1887" s="5"/>
      <c r="C1887" s="5"/>
      <c r="D1887" s="23"/>
      <c r="E1887" s="5"/>
      <c r="F1887" s="5"/>
      <c r="G1887" s="31">
        <f>IF($B1887="","",IFERROR(INDEX(Settings!$B$41:$B$55,MATCH($B1887,Settings!$A$41:$A$55,0)),"Check category"))</f>
      </c>
    </row>
    <row r="1888" spans="1:7" x14ac:dyDescent="0.25">
      <c r="A1888" s="22"/>
      <c r="B1888" s="5"/>
      <c r="C1888" s="5"/>
      <c r="D1888" s="23"/>
      <c r="E1888" s="5"/>
      <c r="F1888" s="5"/>
      <c r="G1888" s="31">
        <f>IF($B1888="","",IFERROR(INDEX(Settings!$B$41:$B$55,MATCH($B1888,Settings!$A$41:$A$55,0)),"Check category"))</f>
      </c>
    </row>
    <row r="1889" spans="1:7" x14ac:dyDescent="0.25">
      <c r="A1889" s="22"/>
      <c r="B1889" s="5"/>
      <c r="C1889" s="5"/>
      <c r="D1889" s="23"/>
      <c r="E1889" s="5"/>
      <c r="F1889" s="5"/>
      <c r="G1889" s="31">
        <f>IF($B1889="","",IFERROR(INDEX(Settings!$B$41:$B$55,MATCH($B1889,Settings!$A$41:$A$55,0)),"Check category"))</f>
      </c>
    </row>
    <row r="1890" spans="1:7" x14ac:dyDescent="0.25">
      <c r="A1890" s="22"/>
      <c r="B1890" s="5"/>
      <c r="C1890" s="5"/>
      <c r="D1890" s="23"/>
      <c r="E1890" s="5"/>
      <c r="F1890" s="5"/>
      <c r="G1890" s="31">
        <f>IF($B1890="","",IFERROR(INDEX(Settings!$B$41:$B$55,MATCH($B1890,Settings!$A$41:$A$55,0)),"Check category"))</f>
      </c>
    </row>
    <row r="1891" spans="1:7" x14ac:dyDescent="0.25">
      <c r="A1891" s="22"/>
      <c r="B1891" s="5"/>
      <c r="C1891" s="5"/>
      <c r="D1891" s="23"/>
      <c r="E1891" s="5"/>
      <c r="F1891" s="5"/>
      <c r="G1891" s="31">
        <f>IF($B1891="","",IFERROR(INDEX(Settings!$B$41:$B$55,MATCH($B1891,Settings!$A$41:$A$55,0)),"Check category"))</f>
      </c>
    </row>
    <row r="1892" spans="1:7" x14ac:dyDescent="0.25">
      <c r="A1892" s="22"/>
      <c r="B1892" s="5"/>
      <c r="C1892" s="5"/>
      <c r="D1892" s="23"/>
      <c r="E1892" s="5"/>
      <c r="F1892" s="5"/>
      <c r="G1892" s="31">
        <f>IF($B1892="","",IFERROR(INDEX(Settings!$B$41:$B$55,MATCH($B1892,Settings!$A$41:$A$55,0)),"Check category"))</f>
      </c>
    </row>
    <row r="1893" spans="1:7" x14ac:dyDescent="0.25">
      <c r="A1893" s="22"/>
      <c r="B1893" s="5"/>
      <c r="C1893" s="5"/>
      <c r="D1893" s="23"/>
      <c r="E1893" s="5"/>
      <c r="F1893" s="5"/>
      <c r="G1893" s="31">
        <f>IF($B1893="","",IFERROR(INDEX(Settings!$B$41:$B$55,MATCH($B1893,Settings!$A$41:$A$55,0)),"Check category"))</f>
      </c>
    </row>
    <row r="1894" spans="1:7" x14ac:dyDescent="0.25">
      <c r="A1894" s="22"/>
      <c r="B1894" s="5"/>
      <c r="C1894" s="5"/>
      <c r="D1894" s="23"/>
      <c r="E1894" s="5"/>
      <c r="F1894" s="5"/>
      <c r="G1894" s="31">
        <f>IF($B1894="","",IFERROR(INDEX(Settings!$B$41:$B$55,MATCH($B1894,Settings!$A$41:$A$55,0)),"Check category"))</f>
      </c>
    </row>
    <row r="1895" spans="1:7" x14ac:dyDescent="0.25">
      <c r="A1895" s="22"/>
      <c r="B1895" s="5"/>
      <c r="C1895" s="5"/>
      <c r="D1895" s="23"/>
      <c r="E1895" s="5"/>
      <c r="F1895" s="5"/>
      <c r="G1895" s="31">
        <f>IF($B1895="","",IFERROR(INDEX(Settings!$B$41:$B$55,MATCH($B1895,Settings!$A$41:$A$55,0)),"Check category"))</f>
      </c>
    </row>
    <row r="1896" spans="1:7" x14ac:dyDescent="0.25">
      <c r="A1896" s="22"/>
      <c r="B1896" s="5"/>
      <c r="C1896" s="5"/>
      <c r="D1896" s="23"/>
      <c r="E1896" s="5"/>
      <c r="F1896" s="5"/>
      <c r="G1896" s="31">
        <f>IF($B1896="","",IFERROR(INDEX(Settings!$B$41:$B$55,MATCH($B1896,Settings!$A$41:$A$55,0)),"Check category"))</f>
      </c>
    </row>
    <row r="1897" spans="1:7" x14ac:dyDescent="0.25">
      <c r="A1897" s="22"/>
      <c r="B1897" s="5"/>
      <c r="C1897" s="5"/>
      <c r="D1897" s="23"/>
      <c r="E1897" s="5"/>
      <c r="F1897" s="5"/>
      <c r="G1897" s="31">
        <f>IF($B1897="","",IFERROR(INDEX(Settings!$B$41:$B$55,MATCH($B1897,Settings!$A$41:$A$55,0)),"Check category"))</f>
      </c>
    </row>
    <row r="1898" spans="1:7" x14ac:dyDescent="0.25">
      <c r="A1898" s="22"/>
      <c r="B1898" s="5"/>
      <c r="C1898" s="5"/>
      <c r="D1898" s="23"/>
      <c r="E1898" s="5"/>
      <c r="F1898" s="5"/>
      <c r="G1898" s="31">
        <f>IF($B1898="","",IFERROR(INDEX(Settings!$B$41:$B$55,MATCH($B1898,Settings!$A$41:$A$55,0)),"Check category"))</f>
      </c>
    </row>
    <row r="1899" spans="1:7" x14ac:dyDescent="0.25">
      <c r="A1899" s="22"/>
      <c r="B1899" s="5"/>
      <c r="C1899" s="5"/>
      <c r="D1899" s="23"/>
      <c r="E1899" s="5"/>
      <c r="F1899" s="5"/>
      <c r="G1899" s="31">
        <f>IF($B1899="","",IFERROR(INDEX(Settings!$B$41:$B$55,MATCH($B1899,Settings!$A$41:$A$55,0)),"Check category"))</f>
      </c>
    </row>
    <row r="1900" spans="1:7" x14ac:dyDescent="0.25">
      <c r="A1900" s="22"/>
      <c r="B1900" s="5"/>
      <c r="C1900" s="5"/>
      <c r="D1900" s="23"/>
      <c r="E1900" s="5"/>
      <c r="F1900" s="5"/>
      <c r="G1900" s="31">
        <f>IF($B1900="","",IFERROR(INDEX(Settings!$B$41:$B$55,MATCH($B1900,Settings!$A$41:$A$55,0)),"Check category"))</f>
      </c>
    </row>
    <row r="1901" spans="1:7" x14ac:dyDescent="0.25">
      <c r="A1901" s="22"/>
      <c r="B1901" s="5"/>
      <c r="C1901" s="5"/>
      <c r="D1901" s="23"/>
      <c r="E1901" s="5"/>
      <c r="F1901" s="5"/>
      <c r="G1901" s="31">
        <f>IF($B1901="","",IFERROR(INDEX(Settings!$B$41:$B$55,MATCH($B1901,Settings!$A$41:$A$55,0)),"Check category"))</f>
      </c>
    </row>
    <row r="1902" spans="1:7" x14ac:dyDescent="0.25">
      <c r="A1902" s="22"/>
      <c r="B1902" s="5"/>
      <c r="C1902" s="5"/>
      <c r="D1902" s="23"/>
      <c r="E1902" s="5"/>
      <c r="F1902" s="5"/>
      <c r="G1902" s="31">
        <f>IF($B1902="","",IFERROR(INDEX(Settings!$B$41:$B$55,MATCH($B1902,Settings!$A$41:$A$55,0)),"Check category"))</f>
      </c>
    </row>
    <row r="1903" spans="1:7" x14ac:dyDescent="0.25">
      <c r="A1903" s="22"/>
      <c r="B1903" s="5"/>
      <c r="C1903" s="5"/>
      <c r="D1903" s="23"/>
      <c r="E1903" s="5"/>
      <c r="F1903" s="5"/>
      <c r="G1903" s="31">
        <f>IF($B1903="","",IFERROR(INDEX(Settings!$B$41:$B$55,MATCH($B1903,Settings!$A$41:$A$55,0)),"Check category"))</f>
      </c>
    </row>
    <row r="1904" spans="1:7" x14ac:dyDescent="0.25">
      <c r="A1904" s="22"/>
      <c r="B1904" s="5"/>
      <c r="C1904" s="5"/>
      <c r="D1904" s="23"/>
      <c r="E1904" s="5"/>
      <c r="F1904" s="5"/>
      <c r="G1904" s="31">
        <f>IF($B1904="","",IFERROR(INDEX(Settings!$B$41:$B$55,MATCH($B1904,Settings!$A$41:$A$55,0)),"Check category"))</f>
      </c>
    </row>
    <row r="1905" spans="1:7" x14ac:dyDescent="0.25">
      <c r="A1905" s="22"/>
      <c r="B1905" s="5"/>
      <c r="C1905" s="5"/>
      <c r="D1905" s="23"/>
      <c r="E1905" s="5"/>
      <c r="F1905" s="5"/>
      <c r="G1905" s="31">
        <f>IF($B1905="","",IFERROR(INDEX(Settings!$B$41:$B$55,MATCH($B1905,Settings!$A$41:$A$55,0)),"Check category"))</f>
      </c>
    </row>
    <row r="1906" spans="1:7" x14ac:dyDescent="0.25">
      <c r="A1906" s="22"/>
      <c r="B1906" s="5"/>
      <c r="C1906" s="5"/>
      <c r="D1906" s="23"/>
      <c r="E1906" s="5"/>
      <c r="F1906" s="5"/>
      <c r="G1906" s="31">
        <f>IF($B1906="","",IFERROR(INDEX(Settings!$B$41:$B$55,MATCH($B1906,Settings!$A$41:$A$55,0)),"Check category"))</f>
      </c>
    </row>
    <row r="1907" spans="1:7" x14ac:dyDescent="0.25">
      <c r="A1907" s="22"/>
      <c r="B1907" s="5"/>
      <c r="C1907" s="5"/>
      <c r="D1907" s="23"/>
      <c r="E1907" s="5"/>
      <c r="F1907" s="5"/>
      <c r="G1907" s="31">
        <f>IF($B1907="","",IFERROR(INDEX(Settings!$B$41:$B$55,MATCH($B1907,Settings!$A$41:$A$55,0)),"Check category"))</f>
      </c>
    </row>
    <row r="1908" spans="1:7" x14ac:dyDescent="0.25">
      <c r="A1908" s="22"/>
      <c r="B1908" s="5"/>
      <c r="C1908" s="5"/>
      <c r="D1908" s="23"/>
      <c r="E1908" s="5"/>
      <c r="F1908" s="5"/>
      <c r="G1908" s="31">
        <f>IF($B1908="","",IFERROR(INDEX(Settings!$B$41:$B$55,MATCH($B1908,Settings!$A$41:$A$55,0)),"Check category"))</f>
      </c>
    </row>
    <row r="1909" spans="1:7" x14ac:dyDescent="0.25">
      <c r="A1909" s="22"/>
      <c r="B1909" s="5"/>
      <c r="C1909" s="5"/>
      <c r="D1909" s="23"/>
      <c r="E1909" s="5"/>
      <c r="F1909" s="5"/>
      <c r="G1909" s="31">
        <f>IF($B1909="","",IFERROR(INDEX(Settings!$B$41:$B$55,MATCH($B1909,Settings!$A$41:$A$55,0)),"Check category"))</f>
      </c>
    </row>
    <row r="1910" spans="1:7" x14ac:dyDescent="0.25">
      <c r="A1910" s="22"/>
      <c r="B1910" s="5"/>
      <c r="C1910" s="5"/>
      <c r="D1910" s="23"/>
      <c r="E1910" s="5"/>
      <c r="F1910" s="5"/>
      <c r="G1910" s="31">
        <f>IF($B1910="","",IFERROR(INDEX(Settings!$B$41:$B$55,MATCH($B1910,Settings!$A$41:$A$55,0)),"Check category"))</f>
      </c>
    </row>
    <row r="1911" spans="1:7" x14ac:dyDescent="0.25">
      <c r="A1911" s="22"/>
      <c r="B1911" s="5"/>
      <c r="C1911" s="5"/>
      <c r="D1911" s="23"/>
      <c r="E1911" s="5"/>
      <c r="F1911" s="5"/>
      <c r="G1911" s="31">
        <f>IF($B1911="","",IFERROR(INDEX(Settings!$B$41:$B$55,MATCH($B1911,Settings!$A$41:$A$55,0)),"Check category"))</f>
      </c>
    </row>
    <row r="1912" spans="1:7" x14ac:dyDescent="0.25">
      <c r="A1912" s="22"/>
      <c r="B1912" s="5"/>
      <c r="C1912" s="5"/>
      <c r="D1912" s="23"/>
      <c r="E1912" s="5"/>
      <c r="F1912" s="5"/>
      <c r="G1912" s="31">
        <f>IF($B1912="","",IFERROR(INDEX(Settings!$B$41:$B$55,MATCH($B1912,Settings!$A$41:$A$55,0)),"Check category"))</f>
      </c>
    </row>
    <row r="1913" spans="1:7" x14ac:dyDescent="0.25">
      <c r="A1913" s="22"/>
      <c r="B1913" s="5"/>
      <c r="C1913" s="5"/>
      <c r="D1913" s="23"/>
      <c r="E1913" s="5"/>
      <c r="F1913" s="5"/>
      <c r="G1913" s="31">
        <f>IF($B1913="","",IFERROR(INDEX(Settings!$B$41:$B$55,MATCH($B1913,Settings!$A$41:$A$55,0)),"Check category"))</f>
      </c>
    </row>
    <row r="1914" spans="1:7" x14ac:dyDescent="0.25">
      <c r="A1914" s="22"/>
      <c r="B1914" s="5"/>
      <c r="C1914" s="5"/>
      <c r="D1914" s="23"/>
      <c r="E1914" s="5"/>
      <c r="F1914" s="5"/>
      <c r="G1914" s="31">
        <f>IF($B1914="","",IFERROR(INDEX(Settings!$B$41:$B$55,MATCH($B1914,Settings!$A$41:$A$55,0)),"Check category"))</f>
      </c>
    </row>
    <row r="1915" spans="1:7" x14ac:dyDescent="0.25">
      <c r="A1915" s="22"/>
      <c r="B1915" s="5"/>
      <c r="C1915" s="5"/>
      <c r="D1915" s="23"/>
      <c r="E1915" s="5"/>
      <c r="F1915" s="5"/>
      <c r="G1915" s="31">
        <f>IF($B1915="","",IFERROR(INDEX(Settings!$B$41:$B$55,MATCH($B1915,Settings!$A$41:$A$55,0)),"Check category"))</f>
      </c>
    </row>
    <row r="1916" spans="1:7" x14ac:dyDescent="0.25">
      <c r="A1916" s="22"/>
      <c r="B1916" s="5"/>
      <c r="C1916" s="5"/>
      <c r="D1916" s="23"/>
      <c r="E1916" s="5"/>
      <c r="F1916" s="5"/>
      <c r="G1916" s="31">
        <f>IF($B1916="","",IFERROR(INDEX(Settings!$B$41:$B$55,MATCH($B1916,Settings!$A$41:$A$55,0)),"Check category"))</f>
      </c>
    </row>
    <row r="1917" spans="1:7" x14ac:dyDescent="0.25">
      <c r="A1917" s="22"/>
      <c r="B1917" s="5"/>
      <c r="C1917" s="5"/>
      <c r="D1917" s="23"/>
      <c r="E1917" s="5"/>
      <c r="F1917" s="5"/>
      <c r="G1917" s="31">
        <f>IF($B1917="","",IFERROR(INDEX(Settings!$B$41:$B$55,MATCH($B1917,Settings!$A$41:$A$55,0)),"Check category"))</f>
      </c>
    </row>
    <row r="1918" spans="1:7" x14ac:dyDescent="0.25">
      <c r="A1918" s="22"/>
      <c r="B1918" s="5"/>
      <c r="C1918" s="5"/>
      <c r="D1918" s="23"/>
      <c r="E1918" s="5"/>
      <c r="F1918" s="5"/>
      <c r="G1918" s="31">
        <f>IF($B1918="","",IFERROR(INDEX(Settings!$B$41:$B$55,MATCH($B1918,Settings!$A$41:$A$55,0)),"Check category"))</f>
      </c>
    </row>
    <row r="1919" spans="1:7" x14ac:dyDescent="0.25">
      <c r="A1919" s="22"/>
      <c r="B1919" s="5"/>
      <c r="C1919" s="5"/>
      <c r="D1919" s="23"/>
      <c r="E1919" s="5"/>
      <c r="F1919" s="5"/>
      <c r="G1919" s="31">
        <f>IF($B1919="","",IFERROR(INDEX(Settings!$B$41:$B$55,MATCH($B1919,Settings!$A$41:$A$55,0)),"Check category"))</f>
      </c>
    </row>
    <row r="1920" spans="1:7" x14ac:dyDescent="0.25">
      <c r="A1920" s="22"/>
      <c r="B1920" s="5"/>
      <c r="C1920" s="5"/>
      <c r="D1920" s="23"/>
      <c r="E1920" s="5"/>
      <c r="F1920" s="5"/>
      <c r="G1920" s="31">
        <f>IF($B1920="","",IFERROR(INDEX(Settings!$B$41:$B$55,MATCH($B1920,Settings!$A$41:$A$55,0)),"Check category"))</f>
      </c>
    </row>
    <row r="1921" spans="1:7" x14ac:dyDescent="0.25">
      <c r="A1921" s="22"/>
      <c r="B1921" s="5"/>
      <c r="C1921" s="5"/>
      <c r="D1921" s="23"/>
      <c r="E1921" s="5"/>
      <c r="F1921" s="5"/>
      <c r="G1921" s="31">
        <f>IF($B1921="","",IFERROR(INDEX(Settings!$B$41:$B$55,MATCH($B1921,Settings!$A$41:$A$55,0)),"Check category"))</f>
      </c>
    </row>
    <row r="1922" spans="1:7" x14ac:dyDescent="0.25">
      <c r="A1922" s="22"/>
      <c r="B1922" s="5"/>
      <c r="C1922" s="5"/>
      <c r="D1922" s="23"/>
      <c r="E1922" s="5"/>
      <c r="F1922" s="5"/>
      <c r="G1922" s="31">
        <f>IF($B1922="","",IFERROR(INDEX(Settings!$B$41:$B$55,MATCH($B1922,Settings!$A$41:$A$55,0)),"Check category"))</f>
      </c>
    </row>
    <row r="1923" spans="1:7" x14ac:dyDescent="0.25">
      <c r="A1923" s="22"/>
      <c r="B1923" s="5"/>
      <c r="C1923" s="5"/>
      <c r="D1923" s="23"/>
      <c r="E1923" s="5"/>
      <c r="F1923" s="5"/>
      <c r="G1923" s="31">
        <f>IF($B1923="","",IFERROR(INDEX(Settings!$B$41:$B$55,MATCH($B1923,Settings!$A$41:$A$55,0)),"Check category"))</f>
      </c>
    </row>
    <row r="1924" spans="1:7" x14ac:dyDescent="0.25">
      <c r="A1924" s="22"/>
      <c r="B1924" s="5"/>
      <c r="C1924" s="5"/>
      <c r="D1924" s="23"/>
      <c r="E1924" s="5"/>
      <c r="F1924" s="5"/>
      <c r="G1924" s="31">
        <f>IF($B1924="","",IFERROR(INDEX(Settings!$B$41:$B$55,MATCH($B1924,Settings!$A$41:$A$55,0)),"Check category"))</f>
      </c>
    </row>
    <row r="1925" spans="1:7" x14ac:dyDescent="0.25">
      <c r="A1925" s="22"/>
      <c r="B1925" s="5"/>
      <c r="C1925" s="5"/>
      <c r="D1925" s="23"/>
      <c r="E1925" s="5"/>
      <c r="F1925" s="5"/>
      <c r="G1925" s="31">
        <f>IF($B1925="","",IFERROR(INDEX(Settings!$B$41:$B$55,MATCH($B1925,Settings!$A$41:$A$55,0)),"Check category"))</f>
      </c>
    </row>
    <row r="1926" spans="1:7" x14ac:dyDescent="0.25">
      <c r="A1926" s="22"/>
      <c r="B1926" s="5"/>
      <c r="C1926" s="5"/>
      <c r="D1926" s="23"/>
      <c r="E1926" s="5"/>
      <c r="F1926" s="5"/>
      <c r="G1926" s="31">
        <f>IF($B1926="","",IFERROR(INDEX(Settings!$B$41:$B$55,MATCH($B1926,Settings!$A$41:$A$55,0)),"Check category"))</f>
      </c>
    </row>
    <row r="1927" spans="1:7" x14ac:dyDescent="0.25">
      <c r="A1927" s="22"/>
      <c r="B1927" s="5"/>
      <c r="C1927" s="5"/>
      <c r="D1927" s="23"/>
      <c r="E1927" s="5"/>
      <c r="F1927" s="5"/>
      <c r="G1927" s="31">
        <f>IF($B1927="","",IFERROR(INDEX(Settings!$B$41:$B$55,MATCH($B1927,Settings!$A$41:$A$55,0)),"Check category"))</f>
      </c>
    </row>
    <row r="1928" spans="1:7" x14ac:dyDescent="0.25">
      <c r="A1928" s="22"/>
      <c r="B1928" s="5"/>
      <c r="C1928" s="5"/>
      <c r="D1928" s="23"/>
      <c r="E1928" s="5"/>
      <c r="F1928" s="5"/>
      <c r="G1928" s="31">
        <f>IF($B1928="","",IFERROR(INDEX(Settings!$B$41:$B$55,MATCH($B1928,Settings!$A$41:$A$55,0)),"Check category"))</f>
      </c>
    </row>
    <row r="1929" spans="1:7" x14ac:dyDescent="0.25">
      <c r="A1929" s="22"/>
      <c r="B1929" s="5"/>
      <c r="C1929" s="5"/>
      <c r="D1929" s="23"/>
      <c r="E1929" s="5"/>
      <c r="F1929" s="5"/>
      <c r="G1929" s="31">
        <f>IF($B1929="","",IFERROR(INDEX(Settings!$B$41:$B$55,MATCH($B1929,Settings!$A$41:$A$55,0)),"Check category"))</f>
      </c>
    </row>
    <row r="1930" spans="1:7" x14ac:dyDescent="0.25">
      <c r="A1930" s="22"/>
      <c r="B1930" s="5"/>
      <c r="C1930" s="5"/>
      <c r="D1930" s="23"/>
      <c r="E1930" s="5"/>
      <c r="F1930" s="5"/>
      <c r="G1930" s="31">
        <f>IF($B1930="","",IFERROR(INDEX(Settings!$B$41:$B$55,MATCH($B1930,Settings!$A$41:$A$55,0)),"Check category"))</f>
      </c>
    </row>
    <row r="1931" spans="1:7" x14ac:dyDescent="0.25">
      <c r="A1931" s="22"/>
      <c r="B1931" s="5"/>
      <c r="C1931" s="5"/>
      <c r="D1931" s="23"/>
      <c r="E1931" s="5"/>
      <c r="F1931" s="5"/>
      <c r="G1931" s="31">
        <f>IF($B1931="","",IFERROR(INDEX(Settings!$B$41:$B$55,MATCH($B1931,Settings!$A$41:$A$55,0)),"Check category"))</f>
      </c>
    </row>
    <row r="1932" spans="1:7" x14ac:dyDescent="0.25">
      <c r="A1932" s="22"/>
      <c r="B1932" s="5"/>
      <c r="C1932" s="5"/>
      <c r="D1932" s="23"/>
      <c r="E1932" s="5"/>
      <c r="F1932" s="5"/>
      <c r="G1932" s="31">
        <f>IF($B1932="","",IFERROR(INDEX(Settings!$B$41:$B$55,MATCH($B1932,Settings!$A$41:$A$55,0)),"Check category"))</f>
      </c>
    </row>
    <row r="1933" spans="1:7" x14ac:dyDescent="0.25">
      <c r="A1933" s="22"/>
      <c r="B1933" s="5"/>
      <c r="C1933" s="5"/>
      <c r="D1933" s="23"/>
      <c r="E1933" s="5"/>
      <c r="F1933" s="5"/>
      <c r="G1933" s="31">
        <f>IF($B1933="","",IFERROR(INDEX(Settings!$B$41:$B$55,MATCH($B1933,Settings!$A$41:$A$55,0)),"Check category"))</f>
      </c>
    </row>
    <row r="1934" spans="1:7" x14ac:dyDescent="0.25">
      <c r="A1934" s="22"/>
      <c r="B1934" s="5"/>
      <c r="C1934" s="5"/>
      <c r="D1934" s="23"/>
      <c r="E1934" s="5"/>
      <c r="F1934" s="5"/>
      <c r="G1934" s="31">
        <f>IF($B1934="","",IFERROR(INDEX(Settings!$B$41:$B$55,MATCH($B1934,Settings!$A$41:$A$55,0)),"Check category"))</f>
      </c>
    </row>
    <row r="1935" spans="1:7" x14ac:dyDescent="0.25">
      <c r="A1935" s="22"/>
      <c r="B1935" s="5"/>
      <c r="C1935" s="5"/>
      <c r="D1935" s="23"/>
      <c r="E1935" s="5"/>
      <c r="F1935" s="5"/>
      <c r="G1935" s="31">
        <f>IF($B1935="","",IFERROR(INDEX(Settings!$B$41:$B$55,MATCH($B1935,Settings!$A$41:$A$55,0)),"Check category"))</f>
      </c>
    </row>
    <row r="1936" spans="1:7" x14ac:dyDescent="0.25">
      <c r="A1936" s="22"/>
      <c r="B1936" s="5"/>
      <c r="C1936" s="5"/>
      <c r="D1936" s="23"/>
      <c r="E1936" s="5"/>
      <c r="F1936" s="5"/>
      <c r="G1936" s="31">
        <f>IF($B1936="","",IFERROR(INDEX(Settings!$B$41:$B$55,MATCH($B1936,Settings!$A$41:$A$55,0)),"Check category"))</f>
      </c>
    </row>
    <row r="1937" spans="1:7" x14ac:dyDescent="0.25">
      <c r="A1937" s="22"/>
      <c r="B1937" s="5"/>
      <c r="C1937" s="5"/>
      <c r="D1937" s="23"/>
      <c r="E1937" s="5"/>
      <c r="F1937" s="5"/>
      <c r="G1937" s="31">
        <f>IF($B1937="","",IFERROR(INDEX(Settings!$B$41:$B$55,MATCH($B1937,Settings!$A$41:$A$55,0)),"Check category"))</f>
      </c>
    </row>
    <row r="1938" spans="1:7" x14ac:dyDescent="0.25">
      <c r="A1938" s="22"/>
      <c r="B1938" s="5"/>
      <c r="C1938" s="5"/>
      <c r="D1938" s="23"/>
      <c r="E1938" s="5"/>
      <c r="F1938" s="5"/>
      <c r="G1938" s="31">
        <f>IF($B1938="","",IFERROR(INDEX(Settings!$B$41:$B$55,MATCH($B1938,Settings!$A$41:$A$55,0)),"Check category"))</f>
      </c>
    </row>
    <row r="1939" spans="1:7" x14ac:dyDescent="0.25">
      <c r="A1939" s="22"/>
      <c r="B1939" s="5"/>
      <c r="C1939" s="5"/>
      <c r="D1939" s="23"/>
      <c r="E1939" s="5"/>
      <c r="F1939" s="5"/>
      <c r="G1939" s="31">
        <f>IF($B1939="","",IFERROR(INDEX(Settings!$B$41:$B$55,MATCH($B1939,Settings!$A$41:$A$55,0)),"Check category"))</f>
      </c>
    </row>
    <row r="1940" spans="1:7" x14ac:dyDescent="0.25">
      <c r="A1940" s="22"/>
      <c r="B1940" s="5"/>
      <c r="C1940" s="5"/>
      <c r="D1940" s="23"/>
      <c r="E1940" s="5"/>
      <c r="F1940" s="5"/>
      <c r="G1940" s="31">
        <f>IF($B1940="","",IFERROR(INDEX(Settings!$B$41:$B$55,MATCH($B1940,Settings!$A$41:$A$55,0)),"Check category"))</f>
      </c>
    </row>
    <row r="1941" spans="1:7" x14ac:dyDescent="0.25">
      <c r="A1941" s="22"/>
      <c r="B1941" s="5"/>
      <c r="C1941" s="5"/>
      <c r="D1941" s="23"/>
      <c r="E1941" s="5"/>
      <c r="F1941" s="5"/>
      <c r="G1941" s="31">
        <f>IF($B1941="","",IFERROR(INDEX(Settings!$B$41:$B$55,MATCH($B1941,Settings!$A$41:$A$55,0)),"Check category"))</f>
      </c>
    </row>
    <row r="1942" spans="1:7" x14ac:dyDescent="0.25">
      <c r="A1942" s="22"/>
      <c r="B1942" s="5"/>
      <c r="C1942" s="5"/>
      <c r="D1942" s="23"/>
      <c r="E1942" s="5"/>
      <c r="F1942" s="5"/>
      <c r="G1942" s="31">
        <f>IF($B1942="","",IFERROR(INDEX(Settings!$B$41:$B$55,MATCH($B1942,Settings!$A$41:$A$55,0)),"Check category"))</f>
      </c>
    </row>
    <row r="1943" spans="1:7" x14ac:dyDescent="0.25">
      <c r="A1943" s="22"/>
      <c r="B1943" s="5"/>
      <c r="C1943" s="5"/>
      <c r="D1943" s="23"/>
      <c r="E1943" s="5"/>
      <c r="F1943" s="5"/>
      <c r="G1943" s="31">
        <f>IF($B1943="","",IFERROR(INDEX(Settings!$B$41:$B$55,MATCH($B1943,Settings!$A$41:$A$55,0)),"Check category"))</f>
      </c>
    </row>
    <row r="1944" spans="1:7" x14ac:dyDescent="0.25">
      <c r="A1944" s="22"/>
      <c r="B1944" s="5"/>
      <c r="C1944" s="5"/>
      <c r="D1944" s="23"/>
      <c r="E1944" s="5"/>
      <c r="F1944" s="5"/>
      <c r="G1944" s="31">
        <f>IF($B1944="","",IFERROR(INDEX(Settings!$B$41:$B$55,MATCH($B1944,Settings!$A$41:$A$55,0)),"Check category"))</f>
      </c>
    </row>
    <row r="1945" spans="1:7" x14ac:dyDescent="0.25">
      <c r="A1945" s="22"/>
      <c r="B1945" s="5"/>
      <c r="C1945" s="5"/>
      <c r="D1945" s="23"/>
      <c r="E1945" s="5"/>
      <c r="F1945" s="5"/>
      <c r="G1945" s="31">
        <f>IF($B1945="","",IFERROR(INDEX(Settings!$B$41:$B$55,MATCH($B1945,Settings!$A$41:$A$55,0)),"Check category"))</f>
      </c>
    </row>
    <row r="1946" spans="1:7" x14ac:dyDescent="0.25">
      <c r="A1946" s="22"/>
      <c r="B1946" s="5"/>
      <c r="C1946" s="5"/>
      <c r="D1946" s="23"/>
      <c r="E1946" s="5"/>
      <c r="F1946" s="5"/>
      <c r="G1946" s="31">
        <f>IF($B1946="","",IFERROR(INDEX(Settings!$B$41:$B$55,MATCH($B1946,Settings!$A$41:$A$55,0)),"Check category"))</f>
      </c>
    </row>
    <row r="1947" spans="1:7" x14ac:dyDescent="0.25">
      <c r="A1947" s="22"/>
      <c r="B1947" s="5"/>
      <c r="C1947" s="5"/>
      <c r="D1947" s="23"/>
      <c r="E1947" s="5"/>
      <c r="F1947" s="5"/>
      <c r="G1947" s="31">
        <f>IF($B1947="","",IFERROR(INDEX(Settings!$B$41:$B$55,MATCH($B1947,Settings!$A$41:$A$55,0)),"Check category"))</f>
      </c>
    </row>
    <row r="1948" spans="1:7" x14ac:dyDescent="0.25">
      <c r="A1948" s="22"/>
      <c r="B1948" s="5"/>
      <c r="C1948" s="5"/>
      <c r="D1948" s="23"/>
      <c r="E1948" s="5"/>
      <c r="F1948" s="5"/>
      <c r="G1948" s="31">
        <f>IF($B1948="","",IFERROR(INDEX(Settings!$B$41:$B$55,MATCH($B1948,Settings!$A$41:$A$55,0)),"Check category"))</f>
      </c>
    </row>
    <row r="1949" spans="1:7" x14ac:dyDescent="0.25">
      <c r="A1949" s="22"/>
      <c r="B1949" s="5"/>
      <c r="C1949" s="5"/>
      <c r="D1949" s="23"/>
      <c r="E1949" s="5"/>
      <c r="F1949" s="5"/>
      <c r="G1949" s="31">
        <f>IF($B1949="","",IFERROR(INDEX(Settings!$B$41:$B$55,MATCH($B1949,Settings!$A$41:$A$55,0)),"Check category"))</f>
      </c>
    </row>
    <row r="1950" spans="1:7" x14ac:dyDescent="0.25">
      <c r="A1950" s="22"/>
      <c r="B1950" s="5"/>
      <c r="C1950" s="5"/>
      <c r="D1950" s="23"/>
      <c r="E1950" s="5"/>
      <c r="F1950" s="5"/>
      <c r="G1950" s="31">
        <f>IF($B1950="","",IFERROR(INDEX(Settings!$B$41:$B$55,MATCH($B1950,Settings!$A$41:$A$55,0)),"Check category"))</f>
      </c>
    </row>
    <row r="1951" spans="1:7" x14ac:dyDescent="0.25">
      <c r="A1951" s="22"/>
      <c r="B1951" s="5"/>
      <c r="C1951" s="5"/>
      <c r="D1951" s="23"/>
      <c r="E1951" s="5"/>
      <c r="F1951" s="5"/>
      <c r="G1951" s="31">
        <f>IF($B1951="","",IFERROR(INDEX(Settings!$B$41:$B$55,MATCH($B1951,Settings!$A$41:$A$55,0)),"Check category"))</f>
      </c>
    </row>
    <row r="1952" spans="1:7" x14ac:dyDescent="0.25">
      <c r="A1952" s="22"/>
      <c r="B1952" s="5"/>
      <c r="C1952" s="5"/>
      <c r="D1952" s="23"/>
      <c r="E1952" s="5"/>
      <c r="F1952" s="5"/>
      <c r="G1952" s="31">
        <f>IF($B1952="","",IFERROR(INDEX(Settings!$B$41:$B$55,MATCH($B1952,Settings!$A$41:$A$55,0)),"Check category"))</f>
      </c>
    </row>
    <row r="1953" spans="1:7" x14ac:dyDescent="0.25">
      <c r="A1953" s="22"/>
      <c r="B1953" s="5"/>
      <c r="C1953" s="5"/>
      <c r="D1953" s="23"/>
      <c r="E1953" s="5"/>
      <c r="F1953" s="5"/>
      <c r="G1953" s="31">
        <f>IF($B1953="","",IFERROR(INDEX(Settings!$B$41:$B$55,MATCH($B1953,Settings!$A$41:$A$55,0)),"Check category"))</f>
      </c>
    </row>
    <row r="1954" spans="1:7" x14ac:dyDescent="0.25">
      <c r="A1954" s="22"/>
      <c r="B1954" s="5"/>
      <c r="C1954" s="5"/>
      <c r="D1954" s="23"/>
      <c r="E1954" s="5"/>
      <c r="F1954" s="5"/>
      <c r="G1954" s="31">
        <f>IF($B1954="","",IFERROR(INDEX(Settings!$B$41:$B$55,MATCH($B1954,Settings!$A$41:$A$55,0)),"Check category"))</f>
      </c>
    </row>
    <row r="1955" spans="1:7" x14ac:dyDescent="0.25">
      <c r="A1955" s="22"/>
      <c r="B1955" s="5"/>
      <c r="C1955" s="5"/>
      <c r="D1955" s="23"/>
      <c r="E1955" s="5"/>
      <c r="F1955" s="5"/>
      <c r="G1955" s="31">
        <f>IF($B1955="","",IFERROR(INDEX(Settings!$B$41:$B$55,MATCH($B1955,Settings!$A$41:$A$55,0)),"Check category"))</f>
      </c>
    </row>
    <row r="1956" spans="1:7" x14ac:dyDescent="0.25">
      <c r="A1956" s="22"/>
      <c r="B1956" s="5"/>
      <c r="C1956" s="5"/>
      <c r="D1956" s="23"/>
      <c r="E1956" s="5"/>
      <c r="F1956" s="5"/>
      <c r="G1956" s="31">
        <f>IF($B1956="","",IFERROR(INDEX(Settings!$B$41:$B$55,MATCH($B1956,Settings!$A$41:$A$55,0)),"Check category"))</f>
      </c>
    </row>
    <row r="1957" spans="1:7" x14ac:dyDescent="0.25">
      <c r="A1957" s="22"/>
      <c r="B1957" s="5"/>
      <c r="C1957" s="5"/>
      <c r="D1957" s="23"/>
      <c r="E1957" s="5"/>
      <c r="F1957" s="5"/>
      <c r="G1957" s="31">
        <f>IF($B1957="","",IFERROR(INDEX(Settings!$B$41:$B$55,MATCH($B1957,Settings!$A$41:$A$55,0)),"Check category"))</f>
      </c>
    </row>
    <row r="1958" spans="1:7" x14ac:dyDescent="0.25">
      <c r="A1958" s="22"/>
      <c r="B1958" s="5"/>
      <c r="C1958" s="5"/>
      <c r="D1958" s="23"/>
      <c r="E1958" s="5"/>
      <c r="F1958" s="5"/>
      <c r="G1958" s="31">
        <f>IF($B1958="","",IFERROR(INDEX(Settings!$B$41:$B$55,MATCH($B1958,Settings!$A$41:$A$55,0)),"Check category"))</f>
      </c>
    </row>
    <row r="1959" spans="1:7" x14ac:dyDescent="0.25">
      <c r="A1959" s="22"/>
      <c r="B1959" s="5"/>
      <c r="C1959" s="5"/>
      <c r="D1959" s="23"/>
      <c r="E1959" s="5"/>
      <c r="F1959" s="5"/>
      <c r="G1959" s="31">
        <f>IF($B1959="","",IFERROR(INDEX(Settings!$B$41:$B$55,MATCH($B1959,Settings!$A$41:$A$55,0)),"Check category"))</f>
      </c>
    </row>
    <row r="1960" spans="1:7" x14ac:dyDescent="0.25">
      <c r="A1960" s="22"/>
      <c r="B1960" s="5"/>
      <c r="C1960" s="5"/>
      <c r="D1960" s="23"/>
      <c r="E1960" s="5"/>
      <c r="F1960" s="5"/>
      <c r="G1960" s="31">
        <f>IF($B1960="","",IFERROR(INDEX(Settings!$B$41:$B$55,MATCH($B1960,Settings!$A$41:$A$55,0)),"Check category"))</f>
      </c>
    </row>
    <row r="1961" spans="1:7" x14ac:dyDescent="0.25">
      <c r="A1961" s="22"/>
      <c r="B1961" s="5"/>
      <c r="C1961" s="5"/>
      <c r="D1961" s="23"/>
      <c r="E1961" s="5"/>
      <c r="F1961" s="5"/>
      <c r="G1961" s="31">
        <f>IF($B1961="","",IFERROR(INDEX(Settings!$B$41:$B$55,MATCH($B1961,Settings!$A$41:$A$55,0)),"Check category"))</f>
      </c>
    </row>
    <row r="1962" spans="1:7" x14ac:dyDescent="0.25">
      <c r="A1962" s="22"/>
      <c r="B1962" s="5"/>
      <c r="C1962" s="5"/>
      <c r="D1962" s="23"/>
      <c r="E1962" s="5"/>
      <c r="F1962" s="5"/>
      <c r="G1962" s="31">
        <f>IF($B1962="","",IFERROR(INDEX(Settings!$B$41:$B$55,MATCH($B1962,Settings!$A$41:$A$55,0)),"Check category"))</f>
      </c>
    </row>
    <row r="1963" spans="1:7" x14ac:dyDescent="0.25">
      <c r="A1963" s="22"/>
      <c r="B1963" s="5"/>
      <c r="C1963" s="5"/>
      <c r="D1963" s="23"/>
      <c r="E1963" s="5"/>
      <c r="F1963" s="5"/>
      <c r="G1963" s="31">
        <f>IF($B1963="","",IFERROR(INDEX(Settings!$B$41:$B$55,MATCH($B1963,Settings!$A$41:$A$55,0)),"Check category"))</f>
      </c>
    </row>
    <row r="1964" spans="1:7" x14ac:dyDescent="0.25">
      <c r="A1964" s="22"/>
      <c r="B1964" s="5"/>
      <c r="C1964" s="5"/>
      <c r="D1964" s="23"/>
      <c r="E1964" s="5"/>
      <c r="F1964" s="5"/>
      <c r="G1964" s="31">
        <f>IF($B1964="","",IFERROR(INDEX(Settings!$B$41:$B$55,MATCH($B1964,Settings!$A$41:$A$55,0)),"Check category"))</f>
      </c>
    </row>
    <row r="1965" spans="1:7" x14ac:dyDescent="0.25">
      <c r="A1965" s="22"/>
      <c r="B1965" s="5"/>
      <c r="C1965" s="5"/>
      <c r="D1965" s="23"/>
      <c r="E1965" s="5"/>
      <c r="F1965" s="5"/>
      <c r="G1965" s="31">
        <f>IF($B1965="","",IFERROR(INDEX(Settings!$B$41:$B$55,MATCH($B1965,Settings!$A$41:$A$55,0)),"Check category"))</f>
      </c>
    </row>
    <row r="1966" spans="1:7" x14ac:dyDescent="0.25">
      <c r="A1966" s="22"/>
      <c r="B1966" s="5"/>
      <c r="C1966" s="5"/>
      <c r="D1966" s="23"/>
      <c r="E1966" s="5"/>
      <c r="F1966" s="5"/>
      <c r="G1966" s="31">
        <f>IF($B1966="","",IFERROR(INDEX(Settings!$B$41:$B$55,MATCH($B1966,Settings!$A$41:$A$55,0)),"Check category"))</f>
      </c>
    </row>
    <row r="1967" spans="1:7" x14ac:dyDescent="0.25">
      <c r="A1967" s="22"/>
      <c r="B1967" s="5"/>
      <c r="C1967" s="5"/>
      <c r="D1967" s="23"/>
      <c r="E1967" s="5"/>
      <c r="F1967" s="5"/>
      <c r="G1967" s="31">
        <f>IF($B1967="","",IFERROR(INDEX(Settings!$B$41:$B$55,MATCH($B1967,Settings!$A$41:$A$55,0)),"Check category"))</f>
      </c>
    </row>
    <row r="1968" spans="1:7" x14ac:dyDescent="0.25">
      <c r="A1968" s="22"/>
      <c r="B1968" s="5"/>
      <c r="C1968" s="5"/>
      <c r="D1968" s="23"/>
      <c r="E1968" s="5"/>
      <c r="F1968" s="5"/>
      <c r="G1968" s="31">
        <f>IF($B1968="","",IFERROR(INDEX(Settings!$B$41:$B$55,MATCH($B1968,Settings!$A$41:$A$55,0)),"Check category"))</f>
      </c>
    </row>
    <row r="1969" spans="1:7" x14ac:dyDescent="0.25">
      <c r="A1969" s="22"/>
      <c r="B1969" s="5"/>
      <c r="C1969" s="5"/>
      <c r="D1969" s="23"/>
      <c r="E1969" s="5"/>
      <c r="F1969" s="5"/>
      <c r="G1969" s="31">
        <f>IF($B1969="","",IFERROR(INDEX(Settings!$B$41:$B$55,MATCH($B1969,Settings!$A$41:$A$55,0)),"Check category"))</f>
      </c>
    </row>
    <row r="1970" spans="1:7" x14ac:dyDescent="0.25">
      <c r="A1970" s="22"/>
      <c r="B1970" s="5"/>
      <c r="C1970" s="5"/>
      <c r="D1970" s="23"/>
      <c r="E1970" s="5"/>
      <c r="F1970" s="5"/>
      <c r="G1970" s="31">
        <f>IF($B1970="","",IFERROR(INDEX(Settings!$B$41:$B$55,MATCH($B1970,Settings!$A$41:$A$55,0)),"Check category"))</f>
      </c>
    </row>
    <row r="1971" spans="1:7" x14ac:dyDescent="0.25">
      <c r="A1971" s="22"/>
      <c r="B1971" s="5"/>
      <c r="C1971" s="5"/>
      <c r="D1971" s="23"/>
      <c r="E1971" s="5"/>
      <c r="F1971" s="5"/>
      <c r="G1971" s="31">
        <f>IF($B1971="","",IFERROR(INDEX(Settings!$B$41:$B$55,MATCH($B1971,Settings!$A$41:$A$55,0)),"Check category"))</f>
      </c>
    </row>
    <row r="1972" spans="1:7" x14ac:dyDescent="0.25">
      <c r="A1972" s="22"/>
      <c r="B1972" s="5"/>
      <c r="C1972" s="5"/>
      <c r="D1972" s="23"/>
      <c r="E1972" s="5"/>
      <c r="F1972" s="5"/>
      <c r="G1972" s="31">
        <f>IF($B1972="","",IFERROR(INDEX(Settings!$B$41:$B$55,MATCH($B1972,Settings!$A$41:$A$55,0)),"Check category"))</f>
      </c>
    </row>
    <row r="1973" spans="1:7" x14ac:dyDescent="0.25">
      <c r="A1973" s="22"/>
      <c r="B1973" s="5"/>
      <c r="C1973" s="5"/>
      <c r="D1973" s="23"/>
      <c r="E1973" s="5"/>
      <c r="F1973" s="5"/>
      <c r="G1973" s="31">
        <f>IF($B1973="","",IFERROR(INDEX(Settings!$B$41:$B$55,MATCH($B1973,Settings!$A$41:$A$55,0)),"Check category"))</f>
      </c>
    </row>
    <row r="1974" spans="1:7" x14ac:dyDescent="0.25">
      <c r="A1974" s="22"/>
      <c r="B1974" s="5"/>
      <c r="C1974" s="5"/>
      <c r="D1974" s="23"/>
      <c r="E1974" s="5"/>
      <c r="F1974" s="5"/>
      <c r="G1974" s="31">
        <f>IF($B1974="","",IFERROR(INDEX(Settings!$B$41:$B$55,MATCH($B1974,Settings!$A$41:$A$55,0)),"Check category"))</f>
      </c>
    </row>
    <row r="1975" spans="1:7" x14ac:dyDescent="0.25">
      <c r="A1975" s="22"/>
      <c r="B1975" s="5"/>
      <c r="C1975" s="5"/>
      <c r="D1975" s="23"/>
      <c r="E1975" s="5"/>
      <c r="F1975" s="5"/>
      <c r="G1975" s="31">
        <f>IF($B1975="","",IFERROR(INDEX(Settings!$B$41:$B$55,MATCH($B1975,Settings!$A$41:$A$55,0)),"Check category"))</f>
      </c>
    </row>
    <row r="1976" spans="1:7" x14ac:dyDescent="0.25">
      <c r="A1976" s="22"/>
      <c r="B1976" s="5"/>
      <c r="C1976" s="5"/>
      <c r="D1976" s="23"/>
      <c r="E1976" s="5"/>
      <c r="F1976" s="5"/>
      <c r="G1976" s="31">
        <f>IF($B1976="","",IFERROR(INDEX(Settings!$B$41:$B$55,MATCH($B1976,Settings!$A$41:$A$55,0)),"Check category"))</f>
      </c>
    </row>
    <row r="1977" spans="1:7" x14ac:dyDescent="0.25">
      <c r="A1977" s="22"/>
      <c r="B1977" s="5"/>
      <c r="C1977" s="5"/>
      <c r="D1977" s="23"/>
      <c r="E1977" s="5"/>
      <c r="F1977" s="5"/>
      <c r="G1977" s="31">
        <f>IF($B1977="","",IFERROR(INDEX(Settings!$B$41:$B$55,MATCH($B1977,Settings!$A$41:$A$55,0)),"Check category"))</f>
      </c>
    </row>
    <row r="1978" spans="1:7" x14ac:dyDescent="0.25">
      <c r="A1978" s="22"/>
      <c r="B1978" s="5"/>
      <c r="C1978" s="5"/>
      <c r="D1978" s="23"/>
      <c r="E1978" s="5"/>
      <c r="F1978" s="5"/>
      <c r="G1978" s="31">
        <f>IF($B1978="","",IFERROR(INDEX(Settings!$B$41:$B$55,MATCH($B1978,Settings!$A$41:$A$55,0)),"Check category"))</f>
      </c>
    </row>
    <row r="1979" spans="1:7" x14ac:dyDescent="0.25">
      <c r="A1979" s="22"/>
      <c r="B1979" s="5"/>
      <c r="C1979" s="5"/>
      <c r="D1979" s="23"/>
      <c r="E1979" s="5"/>
      <c r="F1979" s="5"/>
      <c r="G1979" s="31">
        <f>IF($B1979="","",IFERROR(INDEX(Settings!$B$41:$B$55,MATCH($B1979,Settings!$A$41:$A$55,0)),"Check category"))</f>
      </c>
    </row>
    <row r="1980" spans="1:7" x14ac:dyDescent="0.25">
      <c r="A1980" s="22"/>
      <c r="B1980" s="5"/>
      <c r="C1980" s="5"/>
      <c r="D1980" s="23"/>
      <c r="E1980" s="5"/>
      <c r="F1980" s="5"/>
      <c r="G1980" s="31">
        <f>IF($B1980="","",IFERROR(INDEX(Settings!$B$41:$B$55,MATCH($B1980,Settings!$A$41:$A$55,0)),"Check category"))</f>
      </c>
    </row>
    <row r="1981" spans="1:7" x14ac:dyDescent="0.25">
      <c r="A1981" s="22"/>
      <c r="B1981" s="5"/>
      <c r="C1981" s="5"/>
      <c r="D1981" s="23"/>
      <c r="E1981" s="5"/>
      <c r="F1981" s="5"/>
      <c r="G1981" s="31">
        <f>IF($B1981="","",IFERROR(INDEX(Settings!$B$41:$B$55,MATCH($B1981,Settings!$A$41:$A$55,0)),"Check category"))</f>
      </c>
    </row>
    <row r="1982" spans="1:7" x14ac:dyDescent="0.25">
      <c r="A1982" s="22"/>
      <c r="B1982" s="5"/>
      <c r="C1982" s="5"/>
      <c r="D1982" s="23"/>
      <c r="E1982" s="5"/>
      <c r="F1982" s="5"/>
      <c r="G1982" s="31">
        <f>IF($B1982="","",IFERROR(INDEX(Settings!$B$41:$B$55,MATCH($B1982,Settings!$A$41:$A$55,0)),"Check category"))</f>
      </c>
    </row>
    <row r="1983" spans="1:7" x14ac:dyDescent="0.25">
      <c r="A1983" s="22"/>
      <c r="B1983" s="5"/>
      <c r="C1983" s="5"/>
      <c r="D1983" s="23"/>
      <c r="E1983" s="5"/>
      <c r="F1983" s="5"/>
      <c r="G1983" s="31">
        <f>IF($B1983="","",IFERROR(INDEX(Settings!$B$41:$B$55,MATCH($B1983,Settings!$A$41:$A$55,0)),"Check category"))</f>
      </c>
    </row>
    <row r="1984" spans="1:7" x14ac:dyDescent="0.25">
      <c r="A1984" s="22"/>
      <c r="B1984" s="5"/>
      <c r="C1984" s="5"/>
      <c r="D1984" s="23"/>
      <c r="E1984" s="5"/>
      <c r="F1984" s="5"/>
      <c r="G1984" s="31">
        <f>IF($B1984="","",IFERROR(INDEX(Settings!$B$41:$B$55,MATCH($B1984,Settings!$A$41:$A$55,0)),"Check category"))</f>
      </c>
    </row>
    <row r="1985" spans="1:7" x14ac:dyDescent="0.25">
      <c r="A1985" s="22"/>
      <c r="B1985" s="5"/>
      <c r="C1985" s="5"/>
      <c r="D1985" s="23"/>
      <c r="E1985" s="5"/>
      <c r="F1985" s="5"/>
      <c r="G1985" s="31">
        <f>IF($B1985="","",IFERROR(INDEX(Settings!$B$41:$B$55,MATCH($B1985,Settings!$A$41:$A$55,0)),"Check category"))</f>
      </c>
    </row>
    <row r="1986" spans="1:7" x14ac:dyDescent="0.25">
      <c r="A1986" s="22"/>
      <c r="B1986" s="5"/>
      <c r="C1986" s="5"/>
      <c r="D1986" s="23"/>
      <c r="E1986" s="5"/>
      <c r="F1986" s="5"/>
      <c r="G1986" s="31">
        <f>IF($B1986="","",IFERROR(INDEX(Settings!$B$41:$B$55,MATCH($B1986,Settings!$A$41:$A$55,0)),"Check category"))</f>
      </c>
    </row>
    <row r="1987" spans="1:7" x14ac:dyDescent="0.25">
      <c r="A1987" s="22"/>
      <c r="B1987" s="5"/>
      <c r="C1987" s="5"/>
      <c r="D1987" s="23"/>
      <c r="E1987" s="5"/>
      <c r="F1987" s="5"/>
      <c r="G1987" s="31">
        <f>IF($B1987="","",IFERROR(INDEX(Settings!$B$41:$B$55,MATCH($B1987,Settings!$A$41:$A$55,0)),"Check category"))</f>
      </c>
    </row>
    <row r="1988" spans="1:7" x14ac:dyDescent="0.25">
      <c r="A1988" s="22"/>
      <c r="B1988" s="5"/>
      <c r="C1988" s="5"/>
      <c r="D1988" s="23"/>
      <c r="E1988" s="5"/>
      <c r="F1988" s="5"/>
      <c r="G1988" s="31">
        <f>IF($B1988="","",IFERROR(INDEX(Settings!$B$41:$B$55,MATCH($B1988,Settings!$A$41:$A$55,0)),"Check category"))</f>
      </c>
    </row>
    <row r="1989" spans="1:7" x14ac:dyDescent="0.25">
      <c r="A1989" s="22"/>
      <c r="B1989" s="5"/>
      <c r="C1989" s="5"/>
      <c r="D1989" s="23"/>
      <c r="E1989" s="5"/>
      <c r="F1989" s="5"/>
      <c r="G1989" s="31">
        <f>IF($B1989="","",IFERROR(INDEX(Settings!$B$41:$B$55,MATCH($B1989,Settings!$A$41:$A$55,0)),"Check category"))</f>
      </c>
    </row>
    <row r="1990" spans="1:7" x14ac:dyDescent="0.25">
      <c r="A1990" s="22"/>
      <c r="B1990" s="5"/>
      <c r="C1990" s="5"/>
      <c r="D1990" s="23"/>
      <c r="E1990" s="5"/>
      <c r="F1990" s="5"/>
      <c r="G1990" s="31">
        <f>IF($B1990="","",IFERROR(INDEX(Settings!$B$41:$B$55,MATCH($B1990,Settings!$A$41:$A$55,0)),"Check category"))</f>
      </c>
    </row>
    <row r="1991" spans="1:7" x14ac:dyDescent="0.25">
      <c r="A1991" s="22"/>
      <c r="B1991" s="5"/>
      <c r="C1991" s="5"/>
      <c r="D1991" s="23"/>
      <c r="E1991" s="5"/>
      <c r="F1991" s="5"/>
      <c r="G1991" s="31">
        <f>IF($B1991="","",IFERROR(INDEX(Settings!$B$41:$B$55,MATCH($B1991,Settings!$A$41:$A$55,0)),"Check category"))</f>
      </c>
    </row>
    <row r="1992" spans="1:7" x14ac:dyDescent="0.25">
      <c r="A1992" s="22"/>
      <c r="B1992" s="5"/>
      <c r="C1992" s="5"/>
      <c r="D1992" s="23"/>
      <c r="E1992" s="5"/>
      <c r="F1992" s="5"/>
      <c r="G1992" s="31">
        <f>IF($B1992="","",IFERROR(INDEX(Settings!$B$41:$B$55,MATCH($B1992,Settings!$A$41:$A$55,0)),"Check category"))</f>
      </c>
    </row>
    <row r="1993" spans="1:7" x14ac:dyDescent="0.25">
      <c r="A1993" s="22"/>
      <c r="B1993" s="5"/>
      <c r="C1993" s="5"/>
      <c r="D1993" s="23"/>
      <c r="E1993" s="5"/>
      <c r="F1993" s="5"/>
      <c r="G1993" s="31">
        <f>IF($B1993="","",IFERROR(INDEX(Settings!$B$41:$B$55,MATCH($B1993,Settings!$A$41:$A$55,0)),"Check category"))</f>
      </c>
    </row>
    <row r="1994" spans="1:7" x14ac:dyDescent="0.25">
      <c r="A1994" s="22"/>
      <c r="B1994" s="5"/>
      <c r="C1994" s="5"/>
      <c r="D1994" s="23"/>
      <c r="E1994" s="5"/>
      <c r="F1994" s="5"/>
      <c r="G1994" s="31">
        <f>IF($B1994="","",IFERROR(INDEX(Settings!$B$41:$B$55,MATCH($B1994,Settings!$A$41:$A$55,0)),"Check category"))</f>
      </c>
    </row>
    <row r="1995" spans="1:7" x14ac:dyDescent="0.25">
      <c r="A1995" s="22"/>
      <c r="B1995" s="5"/>
      <c r="C1995" s="5"/>
      <c r="D1995" s="23"/>
      <c r="E1995" s="5"/>
      <c r="F1995" s="5"/>
      <c r="G1995" s="31">
        <f>IF($B1995="","",IFERROR(INDEX(Settings!$B$41:$B$55,MATCH($B1995,Settings!$A$41:$A$55,0)),"Check category"))</f>
      </c>
    </row>
    <row r="1996" spans="1:7" x14ac:dyDescent="0.25">
      <c r="A1996" s="22"/>
      <c r="B1996" s="5"/>
      <c r="C1996" s="5"/>
      <c r="D1996" s="23"/>
      <c r="E1996" s="5"/>
      <c r="F1996" s="5"/>
      <c r="G1996" s="31">
        <f>IF($B1996="","",IFERROR(INDEX(Settings!$B$41:$B$55,MATCH($B1996,Settings!$A$41:$A$55,0)),"Check category"))</f>
      </c>
    </row>
    <row r="1997" spans="1:7" x14ac:dyDescent="0.25">
      <c r="A1997" s="22"/>
      <c r="B1997" s="5"/>
      <c r="C1997" s="5"/>
      <c r="D1997" s="23"/>
      <c r="E1997" s="5"/>
      <c r="F1997" s="5"/>
      <c r="G1997" s="31">
        <f>IF($B1997="","",IFERROR(INDEX(Settings!$B$41:$B$55,MATCH($B1997,Settings!$A$41:$A$55,0)),"Check category"))</f>
      </c>
    </row>
    <row r="1998" spans="1:7" x14ac:dyDescent="0.25">
      <c r="A1998" s="22"/>
      <c r="B1998" s="5"/>
      <c r="C1998" s="5"/>
      <c r="D1998" s="23"/>
      <c r="E1998" s="5"/>
      <c r="F1998" s="5"/>
      <c r="G1998" s="31">
        <f>IF($B1998="","",IFERROR(INDEX(Settings!$B$41:$B$55,MATCH($B1998,Settings!$A$41:$A$55,0)),"Check category"))</f>
      </c>
    </row>
    <row r="1999" spans="1:7" x14ac:dyDescent="0.25">
      <c r="A1999" s="22"/>
      <c r="B1999" s="5"/>
      <c r="C1999" s="5"/>
      <c r="D1999" s="23"/>
      <c r="E1999" s="5"/>
      <c r="F1999" s="5"/>
      <c r="G1999" s="31">
        <f>IF($B1999="","",IFERROR(INDEX(Settings!$B$41:$B$55,MATCH($B1999,Settings!$A$41:$A$55,0)),"Check category"))</f>
      </c>
    </row>
    <row r="2000" spans="1:7" x14ac:dyDescent="0.25">
      <c r="A2000" s="22"/>
      <c r="B2000" s="5"/>
      <c r="C2000" s="5"/>
      <c r="D2000" s="23"/>
      <c r="E2000" s="5"/>
      <c r="F2000" s="5"/>
      <c r="G2000" s="31">
        <f>IF($B2000="","",IFERROR(INDEX(Settings!$B$41:$B$55,MATCH($B2000,Settings!$A$41:$A$55,0)),"Check category"))</f>
      </c>
    </row>
    <row r="2001" spans="1:7" x14ac:dyDescent="0.25">
      <c r="A2001" s="22"/>
      <c r="B2001" s="5"/>
      <c r="C2001" s="5"/>
      <c r="D2001" s="23"/>
      <c r="E2001" s="5"/>
      <c r="F2001" s="5"/>
      <c r="G2001" s="31">
        <f>IF($B2001="","",IFERROR(INDEX(Settings!$B$41:$B$55,MATCH($B2001,Settings!$A$41:$A$55,0)),"Check category"))</f>
      </c>
    </row>
    <row r="2002" spans="1:7" x14ac:dyDescent="0.25">
      <c r="A2002" s="22"/>
      <c r="B2002" s="5"/>
      <c r="C2002" s="5"/>
      <c r="D2002" s="23"/>
      <c r="E2002" s="5"/>
      <c r="F2002" s="5"/>
      <c r="G2002" s="31">
        <f>IF($B2002="","",IFERROR(INDEX(Settings!$B$41:$B$55,MATCH($B2002,Settings!$A$41:$A$55,0)),"Check category"))</f>
      </c>
    </row>
    <row r="2003" spans="1:7" x14ac:dyDescent="0.25">
      <c r="A2003" s="22"/>
      <c r="B2003" s="5"/>
      <c r="C2003" s="5"/>
      <c r="D2003" s="23"/>
      <c r="E2003" s="5"/>
      <c r="F2003" s="5"/>
      <c r="G2003" s="31">
        <f>IF($B2003="","",IFERROR(INDEX(Settings!$B$41:$B$55,MATCH($B2003,Settings!$A$41:$A$55,0)),"Check category"))</f>
      </c>
    </row>
    <row r="2004" spans="1:7" x14ac:dyDescent="0.25">
      <c r="A2004" s="22"/>
      <c r="B2004" s="5"/>
      <c r="C2004" s="5"/>
      <c r="D2004" s="23"/>
      <c r="E2004" s="5"/>
      <c r="F2004" s="5"/>
      <c r="G2004" s="31">
        <f>IF($B2004="","",IFERROR(INDEX(Settings!$B$41:$B$55,MATCH($B2004,Settings!$A$41:$A$55,0)),"Check category"))</f>
      </c>
    </row>
    <row r="2005" spans="1:7" x14ac:dyDescent="0.25">
      <c r="A2005" s="22"/>
      <c r="B2005" s="5"/>
      <c r="C2005" s="5"/>
      <c r="D2005" s="23"/>
      <c r="E2005" s="5"/>
      <c r="F2005" s="5"/>
      <c r="G2005" s="31">
        <f>IF($B2005="","",IFERROR(INDEX(Settings!$B$41:$B$55,MATCH($B2005,Settings!$A$41:$A$55,0)),"Check category"))</f>
      </c>
    </row>
  </sheetData>
  <conditionalFormatting sqref="G6:G2005">
    <cfRule type="cellIs" dxfId="4" priority="2" operator="equal">
      <formula>"Check category"</formula>
    </cfRule>
  </conditionalFormatting>
  <dataValidations count="4">
    <dataValidation type="date" operator="greaterThan" allowBlank="1" error="Enter a valid date" sqref="A10:A2005">
      <formula1>36526</formula1>
      <formula2>0</formula2>
    </dataValidation>
    <dataValidation type="date" operator="greaterThan" allowBlank="1" error="Enter a valid date" sqref="A6:A2005">
      <formula1>36526</formula1>
      <formula2>0</formula2>
    </dataValidation>
    <dataValidation type="decimal" operator="greaterThanOrEqual" allowBlank="1" error="Enter an amount, 0 or more" sqref="D10:D2005">
      <formula1>0</formula1>
      <formula2>0</formula2>
    </dataValidation>
    <dataValidation type="decimal" operator="greaterThanOrEqual" allowBlank="1" error="Enter an amount, 0 or more" sqref="D6:D2005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 zoomScale="100" zoomScaleNormal="100"/>
  </sheetViews>
  <sheetFormatPr defaultRowHeight="15" outlineLevelRow="0" outlineLevelCol="0" x14ac:dyDescent="0.2" defaultColWidth="8.6640625"/>
  <cols>
    <col min="1" max="1" width="34" customWidth="1"/>
    <col min="2" max="7" width="16" customWidth="1"/>
  </cols>
  <sheetData>
    <row r="1" ht="18" customHeight="1" spans="1:1" x14ac:dyDescent="0.25">
      <c r="A1" s="1" t="s">
        <v>66</v>
      </c>
    </row>
    <row r="2" spans="1:1" x14ac:dyDescent="0.25">
      <c r="A2" s="2" t="s">
        <v>135</v>
      </c>
    </row>
    <row r="3" spans="1:2" x14ac:dyDescent="0.25">
      <c r="A3" s="15" t="s">
        <v>67</v>
      </c>
      <c r="B3" s="16">
        <f>Settings!B13</f>
        <v>500000</v>
      </c>
    </row>
    <row r="4" spans="1:2" x14ac:dyDescent="0.25">
      <c r="A4" s="15" t="s">
        <v>68</v>
      </c>
      <c r="B4" s="19">
        <f>Settings!B14</f>
        <v>0.12</v>
      </c>
    </row>
    <row r="5" spans="1:2" x14ac:dyDescent="0.25">
      <c r="A5" s="15" t="s">
        <v>70</v>
      </c>
      <c r="B5" s="16">
        <f>Settings!B15</f>
        <v>36</v>
      </c>
    </row>
    <row r="6" spans="1:2" x14ac:dyDescent="0.25">
      <c r="A6" s="15" t="s">
        <v>73</v>
      </c>
      <c r="B6" s="16">
        <f>Settings!B17</f>
        <v>16607.154906425596</v>
      </c>
    </row>
    <row r="7" spans="1:2" x14ac:dyDescent="0.25">
      <c r="A7" s="15" t="s">
        <v>136</v>
      </c>
      <c r="B7" s="16">
        <f>B6*B5-B3</f>
        <v>97857.57663132146</v>
      </c>
    </row>
    <row r="8" spans="1:2" x14ac:dyDescent="0.25">
      <c r="A8" s="15" t="s">
        <v>137</v>
      </c>
      <c r="B8" s="16">
        <f>COUNTIF(Expenses!$G$6:$G$2005,"Loan")</f>
        <v>0</v>
      </c>
    </row>
    <row r="9" spans="1:2" x14ac:dyDescent="0.25">
      <c r="A9" s="15" t="s">
        <v>138</v>
      </c>
      <c r="B9" s="16">
        <f>SUMIFS(Expenses!$D$6:$D$2005,Expenses!$G$6:$G$2005,"Loan")</f>
        <v>0</v>
      </c>
    </row>
    <row r="10" spans="1:3" x14ac:dyDescent="0.25">
      <c r="A10" s="17" t="s">
        <v>139</v>
      </c>
      <c r="B10" s="18">
        <f>IF(B8=0,B3,IF(B8&gt;=B5,0,INDEX(G15:G74,B8)))</f>
        <v>500000</v>
      </c>
      <c r="C10" s="2" t="s">
        <v>140</v>
      </c>
    </row>
    <row r="14" ht="27.75" customHeight="1" spans="1:7" x14ac:dyDescent="0.25">
      <c r="A14" s="25" t="s">
        <v>141</v>
      </c>
      <c r="B14" s="25" t="s">
        <v>142</v>
      </c>
      <c r="C14" s="25" t="s">
        <v>143</v>
      </c>
      <c r="D14" s="25" t="s">
        <v>144</v>
      </c>
      <c r="E14" s="25" t="s">
        <v>145</v>
      </c>
      <c r="F14" s="25" t="s">
        <v>146</v>
      </c>
      <c r="G14" s="25" t="s">
        <v>147</v>
      </c>
    </row>
    <row r="15" spans="1:7" x14ac:dyDescent="0.25">
      <c r="A15" s="34">
        <v>1</v>
      </c>
      <c r="B15" s="35">
        <f>IF($A15&gt;Settings!$B$15,"",EDATE(Settings!$B$16,$A15-1))</f>
        <v>46357</v>
      </c>
      <c r="C15" s="16">
        <f>IF($A15&gt;Settings!$B$15,"",Settings!$B$13)</f>
        <v>500000</v>
      </c>
      <c r="D15" s="16">
        <f>IF($A15&gt;Settings!$B$15,"",C15*Settings!$B$14/12)</f>
        <v>5000</v>
      </c>
      <c r="E15" s="16">
        <f>IF($A15&gt;Settings!$B$15,"",F15-D15)</f>
        <v>11607.154906425596</v>
      </c>
      <c r="F15" s="16">
        <f>IF($A15&gt;Settings!$B$15,"",Settings!$B$17)</f>
        <v>16607.154906425596</v>
      </c>
      <c r="G15" s="16">
        <f>IF($A15&gt;Settings!$B$15,"",C15-E15)</f>
        <v>488392.8450935744</v>
      </c>
    </row>
    <row r="16" spans="1:7" x14ac:dyDescent="0.25">
      <c r="A16" s="34">
        <v>2</v>
      </c>
      <c r="B16" s="35">
        <f>IF($A16&gt;Settings!$B$15,"",EDATE(Settings!$B$16,$A16-1))</f>
        <v>46388</v>
      </c>
      <c r="C16" s="16">
        <f>IF($A16&gt;Settings!$B$15,"",G15)</f>
        <v>488392.8450935744</v>
      </c>
      <c r="D16" s="16">
        <f>IF($A16&gt;Settings!$B$15,"",C16*Settings!$B$14/12)</f>
        <v>4883.928450935743</v>
      </c>
      <c r="E16" s="16">
        <f>IF($A16&gt;Settings!$B$15,"",F16-D16)</f>
        <v>11723.226455489854</v>
      </c>
      <c r="F16" s="16">
        <f>IF($A16&gt;Settings!$B$15,"",Settings!$B$17)</f>
        <v>16607.154906425596</v>
      </c>
      <c r="G16" s="16">
        <f>IF($A16&gt;Settings!$B$15,"",C16-E16)</f>
        <v>476669.6186380845</v>
      </c>
    </row>
    <row r="17" spans="1:7" x14ac:dyDescent="0.25">
      <c r="A17" s="34">
        <v>3</v>
      </c>
      <c r="B17" s="35">
        <f>IF($A17&gt;Settings!$B$15,"",EDATE(Settings!$B$16,$A17-1))</f>
        <v>46419</v>
      </c>
      <c r="C17" s="16">
        <f>IF($A17&gt;Settings!$B$15,"",G16)</f>
        <v>476669.6186380845</v>
      </c>
      <c r="D17" s="16">
        <f>IF($A17&gt;Settings!$B$15,"",C17*Settings!$B$14/12)</f>
        <v>4766.696186380845</v>
      </c>
      <c r="E17" s="16">
        <f>IF($A17&gt;Settings!$B$15,"",F17-D17)</f>
        <v>11840.458720044751</v>
      </c>
      <c r="F17" s="16">
        <f>IF($A17&gt;Settings!$B$15,"",Settings!$B$17)</f>
        <v>16607.154906425596</v>
      </c>
      <c r="G17" s="16">
        <f>IF($A17&gt;Settings!$B$15,"",C17-E17)</f>
        <v>464829.15991803975</v>
      </c>
    </row>
    <row r="18" spans="1:7" x14ac:dyDescent="0.25">
      <c r="A18" s="34">
        <v>4</v>
      </c>
      <c r="B18" s="35">
        <f>IF($A18&gt;Settings!$B$15,"",EDATE(Settings!$B$16,$A18-1))</f>
        <v>46447</v>
      </c>
      <c r="C18" s="16">
        <f>IF($A18&gt;Settings!$B$15,"",G17)</f>
        <v>464829.15991803975</v>
      </c>
      <c r="D18" s="16">
        <f>IF($A18&gt;Settings!$B$15,"",C18*Settings!$B$14/12)</f>
        <v>4648.2915991803975</v>
      </c>
      <c r="E18" s="16">
        <f>IF($A18&gt;Settings!$B$15,"",F18-D18)</f>
        <v>11958.8633072452</v>
      </c>
      <c r="F18" s="16">
        <f>IF($A18&gt;Settings!$B$15,"",Settings!$B$17)</f>
        <v>16607.154906425596</v>
      </c>
      <c r="G18" s="16">
        <f>IF($A18&gt;Settings!$B$15,"",C18-E18)</f>
        <v>452870.29661079455</v>
      </c>
    </row>
    <row r="19" spans="1:7" x14ac:dyDescent="0.25">
      <c r="A19" s="34">
        <v>5</v>
      </c>
      <c r="B19" s="35">
        <f>IF($A19&gt;Settings!$B$15,"",EDATE(Settings!$B$16,$A19-1))</f>
        <v>46478</v>
      </c>
      <c r="C19" s="16">
        <f>IF($A19&gt;Settings!$B$15,"",G18)</f>
        <v>452870.29661079455</v>
      </c>
      <c r="D19" s="16">
        <f>IF($A19&gt;Settings!$B$15,"",C19*Settings!$B$14/12)</f>
        <v>4528.702966107946</v>
      </c>
      <c r="E19" s="16">
        <f>IF($A19&gt;Settings!$B$15,"",F19-D19)</f>
        <v>12078.45194031765</v>
      </c>
      <c r="F19" s="16">
        <f>IF($A19&gt;Settings!$B$15,"",Settings!$B$17)</f>
        <v>16607.154906425596</v>
      </c>
      <c r="G19" s="16">
        <f>IF($A19&gt;Settings!$B$15,"",C19-E19)</f>
        <v>440791.8446704769</v>
      </c>
    </row>
    <row r="20" spans="1:7" x14ac:dyDescent="0.25">
      <c r="A20" s="34">
        <v>6</v>
      </c>
      <c r="B20" s="35">
        <f>IF($A20&gt;Settings!$B$15,"",EDATE(Settings!$B$16,$A20-1))</f>
        <v>46508</v>
      </c>
      <c r="C20" s="16">
        <f>IF($A20&gt;Settings!$B$15,"",G19)</f>
        <v>440791.8446704769</v>
      </c>
      <c r="D20" s="16">
        <f>IF($A20&gt;Settings!$B$15,"",C20*Settings!$B$14/12)</f>
        <v>4407.918446704769</v>
      </c>
      <c r="E20" s="16">
        <f>IF($A20&gt;Settings!$B$15,"",F20-D20)</f>
        <v>12199.236459720827</v>
      </c>
      <c r="F20" s="16">
        <f>IF($A20&gt;Settings!$B$15,"",Settings!$B$17)</f>
        <v>16607.154906425596</v>
      </c>
      <c r="G20" s="16">
        <f>IF($A20&gt;Settings!$B$15,"",C20-E20)</f>
        <v>428592.6082107561</v>
      </c>
    </row>
    <row r="21" spans="1:7" x14ac:dyDescent="0.25">
      <c r="A21" s="34">
        <v>7</v>
      </c>
      <c r="B21" s="35">
        <f>IF($A21&gt;Settings!$B$15,"",EDATE(Settings!$B$16,$A21-1))</f>
        <v>46539</v>
      </c>
      <c r="C21" s="16">
        <f>IF($A21&gt;Settings!$B$15,"",G20)</f>
        <v>428592.6082107561</v>
      </c>
      <c r="D21" s="16">
        <f>IF($A21&gt;Settings!$B$15,"",C21*Settings!$B$14/12)</f>
        <v>4285.926082107561</v>
      </c>
      <c r="E21" s="16">
        <f>IF($A21&gt;Settings!$B$15,"",F21-D21)</f>
        <v>12321.228824318034</v>
      </c>
      <c r="F21" s="16">
        <f>IF($A21&gt;Settings!$B$15,"",Settings!$B$17)</f>
        <v>16607.154906425596</v>
      </c>
      <c r="G21" s="16">
        <f>IF($A21&gt;Settings!$B$15,"",C21-E21)</f>
        <v>416271.37938643806</v>
      </c>
    </row>
    <row r="22" spans="1:7" x14ac:dyDescent="0.25">
      <c r="A22" s="34">
        <v>8</v>
      </c>
      <c r="B22" s="35">
        <f>IF($A22&gt;Settings!$B$15,"",EDATE(Settings!$B$16,$A22-1))</f>
        <v>46569</v>
      </c>
      <c r="C22" s="16">
        <f>IF($A22&gt;Settings!$B$15,"",G21)</f>
        <v>416271.37938643806</v>
      </c>
      <c r="D22" s="16">
        <f>IF($A22&gt;Settings!$B$15,"",C22*Settings!$B$14/12)</f>
        <v>4162.71379386438</v>
      </c>
      <c r="E22" s="16">
        <f>IF($A22&gt;Settings!$B$15,"",F22-D22)</f>
        <v>12444.441112561217</v>
      </c>
      <c r="F22" s="16">
        <f>IF($A22&gt;Settings!$B$15,"",Settings!$B$17)</f>
        <v>16607.154906425596</v>
      </c>
      <c r="G22" s="16">
        <f>IF($A22&gt;Settings!$B$15,"",C22-E22)</f>
        <v>403826.93827387685</v>
      </c>
    </row>
    <row r="23" spans="1:7" x14ac:dyDescent="0.25">
      <c r="A23" s="34">
        <v>9</v>
      </c>
      <c r="B23" s="35">
        <f>IF($A23&gt;Settings!$B$15,"",EDATE(Settings!$B$16,$A23-1))</f>
        <v>46600</v>
      </c>
      <c r="C23" s="16">
        <f>IF($A23&gt;Settings!$B$15,"",G22)</f>
        <v>403826.93827387685</v>
      </c>
      <c r="D23" s="16">
        <f>IF($A23&gt;Settings!$B$15,"",C23*Settings!$B$14/12)</f>
        <v>4038.2693827387684</v>
      </c>
      <c r="E23" s="16">
        <f>IF($A23&gt;Settings!$B$15,"",F23-D23)</f>
        <v>12568.885523686828</v>
      </c>
      <c r="F23" s="16">
        <f>IF($A23&gt;Settings!$B$15,"",Settings!$B$17)</f>
        <v>16607.154906425596</v>
      </c>
      <c r="G23" s="16">
        <f>IF($A23&gt;Settings!$B$15,"",C23-E23)</f>
        <v>391258.05275019</v>
      </c>
    </row>
    <row r="24" spans="1:7" x14ac:dyDescent="0.25">
      <c r="A24" s="34">
        <v>10</v>
      </c>
      <c r="B24" s="35">
        <f>IF($A24&gt;Settings!$B$15,"",EDATE(Settings!$B$16,$A24-1))</f>
        <v>46631</v>
      </c>
      <c r="C24" s="16">
        <f>IF($A24&gt;Settings!$B$15,"",G23)</f>
        <v>391258.05275019</v>
      </c>
      <c r="D24" s="16">
        <f>IF($A24&gt;Settings!$B$15,"",C24*Settings!$B$14/12)</f>
        <v>3912.5805275018997</v>
      </c>
      <c r="E24" s="16">
        <f>IF($A24&gt;Settings!$B$15,"",F24-D24)</f>
        <v>12694.574378923697</v>
      </c>
      <c r="F24" s="16">
        <f>IF($A24&gt;Settings!$B$15,"",Settings!$B$17)</f>
        <v>16607.154906425596</v>
      </c>
      <c r="G24" s="16">
        <f>IF($A24&gt;Settings!$B$15,"",C24-E24)</f>
        <v>378563.47837126633</v>
      </c>
    </row>
    <row r="25" spans="1:7" x14ac:dyDescent="0.25">
      <c r="A25" s="34">
        <v>11</v>
      </c>
      <c r="B25" s="35">
        <f>IF($A25&gt;Settings!$B$15,"",EDATE(Settings!$B$16,$A25-1))</f>
        <v>46661</v>
      </c>
      <c r="C25" s="16">
        <f>IF($A25&gt;Settings!$B$15,"",G24)</f>
        <v>378563.47837126633</v>
      </c>
      <c r="D25" s="16">
        <f>IF($A25&gt;Settings!$B$15,"",C25*Settings!$B$14/12)</f>
        <v>3785.634783712663</v>
      </c>
      <c r="E25" s="16">
        <f>IF($A25&gt;Settings!$B$15,"",F25-D25)</f>
        <v>12821.520122712933</v>
      </c>
      <c r="F25" s="16">
        <f>IF($A25&gt;Settings!$B$15,"",Settings!$B$17)</f>
        <v>16607.154906425596</v>
      </c>
      <c r="G25" s="16">
        <f>IF($A25&gt;Settings!$B$15,"",C25-E25)</f>
        <v>365741.9582485534</v>
      </c>
    </row>
    <row r="26" spans="1:7" x14ac:dyDescent="0.25">
      <c r="A26" s="34">
        <v>12</v>
      </c>
      <c r="B26" s="35">
        <f>IF($A26&gt;Settings!$B$15,"",EDATE(Settings!$B$16,$A26-1))</f>
        <v>46692</v>
      </c>
      <c r="C26" s="16">
        <f>IF($A26&gt;Settings!$B$15,"",G25)</f>
        <v>365741.9582485534</v>
      </c>
      <c r="D26" s="16">
        <f>IF($A26&gt;Settings!$B$15,"",C26*Settings!$B$14/12)</f>
        <v>3657.4195824855337</v>
      </c>
      <c r="E26" s="16">
        <f>IF($A26&gt;Settings!$B$15,"",F26-D26)</f>
        <v>12949.735323940062</v>
      </c>
      <c r="F26" s="16">
        <f>IF($A26&gt;Settings!$B$15,"",Settings!$B$17)</f>
        <v>16607.154906425596</v>
      </c>
      <c r="G26" s="16">
        <f>IF($A26&gt;Settings!$B$15,"",C26-E26)</f>
        <v>352792.22292461334</v>
      </c>
    </row>
    <row r="27" spans="1:7" x14ac:dyDescent="0.25">
      <c r="A27" s="34">
        <v>13</v>
      </c>
      <c r="B27" s="35">
        <f>IF($A27&gt;Settings!$B$15,"",EDATE(Settings!$B$16,$A27-1))</f>
        <v>46722</v>
      </c>
      <c r="C27" s="16">
        <f>IF($A27&gt;Settings!$B$15,"",G26)</f>
        <v>352792.22292461334</v>
      </c>
      <c r="D27" s="16">
        <f>IF($A27&gt;Settings!$B$15,"",C27*Settings!$B$14/12)</f>
        <v>3527.922229246133</v>
      </c>
      <c r="E27" s="16">
        <f>IF($A27&gt;Settings!$B$15,"",F27-D27)</f>
        <v>13079.232677179463</v>
      </c>
      <c r="F27" s="16">
        <f>IF($A27&gt;Settings!$B$15,"",Settings!$B$17)</f>
        <v>16607.154906425596</v>
      </c>
      <c r="G27" s="16">
        <f>IF($A27&gt;Settings!$B$15,"",C27-E27)</f>
        <v>339712.9902474339</v>
      </c>
    </row>
    <row r="28" spans="1:7" x14ac:dyDescent="0.25">
      <c r="A28" s="34">
        <v>14</v>
      </c>
      <c r="B28" s="35">
        <f>IF($A28&gt;Settings!$B$15,"",EDATE(Settings!$B$16,$A28-1))</f>
        <v>46753</v>
      </c>
      <c r="C28" s="16">
        <f>IF($A28&gt;Settings!$B$15,"",G27)</f>
        <v>339712.9902474339</v>
      </c>
      <c r="D28" s="16">
        <f>IF($A28&gt;Settings!$B$15,"",C28*Settings!$B$14/12)</f>
        <v>3397.129902474339</v>
      </c>
      <c r="E28" s="16">
        <f>IF($A28&gt;Settings!$B$15,"",F28-D28)</f>
        <v>13210.025003951258</v>
      </c>
      <c r="F28" s="16">
        <f>IF($A28&gt;Settings!$B$15,"",Settings!$B$17)</f>
        <v>16607.154906425596</v>
      </c>
      <c r="G28" s="16">
        <f>IF($A28&gt;Settings!$B$15,"",C28-E28)</f>
        <v>326502.9652434826</v>
      </c>
    </row>
    <row r="29" spans="1:7" x14ac:dyDescent="0.25">
      <c r="A29" s="34">
        <v>15</v>
      </c>
      <c r="B29" s="35">
        <f>IF($A29&gt;Settings!$B$15,"",EDATE(Settings!$B$16,$A29-1))</f>
        <v>46784</v>
      </c>
      <c r="C29" s="16">
        <f>IF($A29&gt;Settings!$B$15,"",G28)</f>
        <v>326502.9652434826</v>
      </c>
      <c r="D29" s="16">
        <f>IF($A29&gt;Settings!$B$15,"",C29*Settings!$B$14/12)</f>
        <v>3265.0296524348264</v>
      </c>
      <c r="E29" s="16">
        <f>IF($A29&gt;Settings!$B$15,"",F29-D29)</f>
        <v>13342.12525399077</v>
      </c>
      <c r="F29" s="16">
        <f>IF($A29&gt;Settings!$B$15,"",Settings!$B$17)</f>
        <v>16607.154906425596</v>
      </c>
      <c r="G29" s="16">
        <f>IF($A29&gt;Settings!$B$15,"",C29-E29)</f>
        <v>313160.83998949185</v>
      </c>
    </row>
    <row r="30" spans="1:7" x14ac:dyDescent="0.25">
      <c r="A30" s="34">
        <v>16</v>
      </c>
      <c r="B30" s="35">
        <f>IF($A30&gt;Settings!$B$15,"",EDATE(Settings!$B$16,$A30-1))</f>
        <v>46813</v>
      </c>
      <c r="C30" s="16">
        <f>IF($A30&gt;Settings!$B$15,"",G29)</f>
        <v>313160.83998949185</v>
      </c>
      <c r="D30" s="16">
        <f>IF($A30&gt;Settings!$B$15,"",C30*Settings!$B$14/12)</f>
        <v>3131.6083998949184</v>
      </c>
      <c r="E30" s="16">
        <f>IF($A30&gt;Settings!$B$15,"",F30-D30)</f>
        <v>13475.546506530678</v>
      </c>
      <c r="F30" s="16">
        <f>IF($A30&gt;Settings!$B$15,"",Settings!$B$17)</f>
        <v>16607.154906425596</v>
      </c>
      <c r="G30" s="16">
        <f>IF($A30&gt;Settings!$B$15,"",C30-E30)</f>
        <v>299685.2934829612</v>
      </c>
    </row>
    <row r="31" spans="1:7" x14ac:dyDescent="0.25">
      <c r="A31" s="34">
        <v>17</v>
      </c>
      <c r="B31" s="35">
        <f>IF($A31&gt;Settings!$B$15,"",EDATE(Settings!$B$16,$A31-1))</f>
        <v>46844</v>
      </c>
      <c r="C31" s="16">
        <f>IF($A31&gt;Settings!$B$15,"",G30)</f>
        <v>299685.2934829612</v>
      </c>
      <c r="D31" s="16">
        <f>IF($A31&gt;Settings!$B$15,"",C31*Settings!$B$14/12)</f>
        <v>2996.852934829612</v>
      </c>
      <c r="E31" s="16">
        <f>IF($A31&gt;Settings!$B$15,"",F31-D31)</f>
        <v>13610.301971595984</v>
      </c>
      <c r="F31" s="16">
        <f>IF($A31&gt;Settings!$B$15,"",Settings!$B$17)</f>
        <v>16607.154906425596</v>
      </c>
      <c r="G31" s="16">
        <f>IF($A31&gt;Settings!$B$15,"",C31-E31)</f>
        <v>286074.9915113652</v>
      </c>
    </row>
    <row r="32" spans="1:7" x14ac:dyDescent="0.25">
      <c r="A32" s="34">
        <v>18</v>
      </c>
      <c r="B32" s="35">
        <f>IF($A32&gt;Settings!$B$15,"",EDATE(Settings!$B$16,$A32-1))</f>
        <v>46874</v>
      </c>
      <c r="C32" s="16">
        <f>IF($A32&gt;Settings!$B$15,"",G31)</f>
        <v>286074.9915113652</v>
      </c>
      <c r="D32" s="16">
        <f>IF($A32&gt;Settings!$B$15,"",C32*Settings!$B$14/12)</f>
        <v>2860.749915113652</v>
      </c>
      <c r="E32" s="16">
        <f>IF($A32&gt;Settings!$B$15,"",F32-D32)</f>
        <v>13746.404991311943</v>
      </c>
      <c r="F32" s="16">
        <f>IF($A32&gt;Settings!$B$15,"",Settings!$B$17)</f>
        <v>16607.154906425596</v>
      </c>
      <c r="G32" s="16">
        <f>IF($A32&gt;Settings!$B$15,"",C32-E32)</f>
        <v>272328.5865200533</v>
      </c>
    </row>
    <row r="33" spans="1:7" x14ac:dyDescent="0.25">
      <c r="A33" s="34">
        <v>19</v>
      </c>
      <c r="B33" s="35">
        <f>IF($A33&gt;Settings!$B$15,"",EDATE(Settings!$B$16,$A33-1))</f>
        <v>46905</v>
      </c>
      <c r="C33" s="16">
        <f>IF($A33&gt;Settings!$B$15,"",G32)</f>
        <v>272328.5865200533</v>
      </c>
      <c r="D33" s="16">
        <f>IF($A33&gt;Settings!$B$15,"",C33*Settings!$B$14/12)</f>
        <v>2723.2858652005325</v>
      </c>
      <c r="E33" s="16">
        <f>IF($A33&gt;Settings!$B$15,"",F33-D33)</f>
        <v>13883.869041225063</v>
      </c>
      <c r="F33" s="16">
        <f>IF($A33&gt;Settings!$B$15,"",Settings!$B$17)</f>
        <v>16607.154906425596</v>
      </c>
      <c r="G33" s="16">
        <f>IF($A33&gt;Settings!$B$15,"",C33-E33)</f>
        <v>258444.7174788282</v>
      </c>
    </row>
    <row r="34" spans="1:7" x14ac:dyDescent="0.25">
      <c r="A34" s="34">
        <v>20</v>
      </c>
      <c r="B34" s="35">
        <f>IF($A34&gt;Settings!$B$15,"",EDATE(Settings!$B$16,$A34-1))</f>
        <v>46935</v>
      </c>
      <c r="C34" s="16">
        <f>IF($A34&gt;Settings!$B$15,"",G33)</f>
        <v>258444.7174788282</v>
      </c>
      <c r="D34" s="16">
        <f>IF($A34&gt;Settings!$B$15,"",C34*Settings!$B$14/12)</f>
        <v>2584.447174788282</v>
      </c>
      <c r="E34" s="16">
        <f>IF($A34&gt;Settings!$B$15,"",F34-D34)</f>
        <v>14022.707731637314</v>
      </c>
      <c r="F34" s="16">
        <f>IF($A34&gt;Settings!$B$15,"",Settings!$B$17)</f>
        <v>16607.154906425596</v>
      </c>
      <c r="G34" s="16">
        <f>IF($A34&gt;Settings!$B$15,"",C34-E34)</f>
        <v>244422.0097471909</v>
      </c>
    </row>
    <row r="35" spans="1:7" x14ac:dyDescent="0.25">
      <c r="A35" s="34">
        <v>21</v>
      </c>
      <c r="B35" s="35">
        <f>IF($A35&gt;Settings!$B$15,"",EDATE(Settings!$B$16,$A35-1))</f>
        <v>46966</v>
      </c>
      <c r="C35" s="16">
        <f>IF($A35&gt;Settings!$B$15,"",G34)</f>
        <v>244422.0097471909</v>
      </c>
      <c r="D35" s="16">
        <f>IF($A35&gt;Settings!$B$15,"",C35*Settings!$B$14/12)</f>
        <v>2444.220097471909</v>
      </c>
      <c r="E35" s="16">
        <f>IF($A35&gt;Settings!$B$15,"",F35-D35)</f>
        <v>14162.934808953687</v>
      </c>
      <c r="F35" s="16">
        <f>IF($A35&gt;Settings!$B$15,"",Settings!$B$17)</f>
        <v>16607.154906425596</v>
      </c>
      <c r="G35" s="16">
        <f>IF($A35&gt;Settings!$B$15,"",C35-E35)</f>
        <v>230259.0749382372</v>
      </c>
    </row>
    <row r="36" spans="1:7" x14ac:dyDescent="0.25">
      <c r="A36" s="34">
        <v>22</v>
      </c>
      <c r="B36" s="35">
        <f>IF($A36&gt;Settings!$B$15,"",EDATE(Settings!$B$16,$A36-1))</f>
        <v>46997</v>
      </c>
      <c r="C36" s="16">
        <f>IF($A36&gt;Settings!$B$15,"",G35)</f>
        <v>230259.0749382372</v>
      </c>
      <c r="D36" s="16">
        <f>IF($A36&gt;Settings!$B$15,"",C36*Settings!$B$14/12)</f>
        <v>2302.590749382372</v>
      </c>
      <c r="E36" s="16">
        <f>IF($A36&gt;Settings!$B$15,"",F36-D36)</f>
        <v>14304.564157043224</v>
      </c>
      <c r="F36" s="16">
        <f>IF($A36&gt;Settings!$B$15,"",Settings!$B$17)</f>
        <v>16607.154906425596</v>
      </c>
      <c r="G36" s="16">
        <f>IF($A36&gt;Settings!$B$15,"",C36-E36)</f>
        <v>215954.51078119397</v>
      </c>
    </row>
    <row r="37" spans="1:7" x14ac:dyDescent="0.25">
      <c r="A37" s="34">
        <v>23</v>
      </c>
      <c r="B37" s="35">
        <f>IF($A37&gt;Settings!$B$15,"",EDATE(Settings!$B$16,$A37-1))</f>
        <v>47027</v>
      </c>
      <c r="C37" s="16">
        <f>IF($A37&gt;Settings!$B$15,"",G36)</f>
        <v>215954.51078119397</v>
      </c>
      <c r="D37" s="16">
        <f>IF($A37&gt;Settings!$B$15,"",C37*Settings!$B$14/12)</f>
        <v>2159.5451078119395</v>
      </c>
      <c r="E37" s="16">
        <f>IF($A37&gt;Settings!$B$15,"",F37-D37)</f>
        <v>14447.609798613656</v>
      </c>
      <c r="F37" s="16">
        <f>IF($A37&gt;Settings!$B$15,"",Settings!$B$17)</f>
        <v>16607.154906425596</v>
      </c>
      <c r="G37" s="16">
        <f>IF($A37&gt;Settings!$B$15,"",C37-E37)</f>
        <v>201506.90098258032</v>
      </c>
    </row>
    <row r="38" spans="1:7" x14ac:dyDescent="0.25">
      <c r="A38" s="34">
        <v>24</v>
      </c>
      <c r="B38" s="35">
        <f>IF($A38&gt;Settings!$B$15,"",EDATE(Settings!$B$16,$A38-1))</f>
        <v>47058</v>
      </c>
      <c r="C38" s="16">
        <f>IF($A38&gt;Settings!$B$15,"",G37)</f>
        <v>201506.90098258032</v>
      </c>
      <c r="D38" s="16">
        <f>IF($A38&gt;Settings!$B$15,"",C38*Settings!$B$14/12)</f>
        <v>2015.069009825803</v>
      </c>
      <c r="E38" s="16">
        <f>IF($A38&gt;Settings!$B$15,"",F38-D38)</f>
        <v>14592.085896599792</v>
      </c>
      <c r="F38" s="16">
        <f>IF($A38&gt;Settings!$B$15,"",Settings!$B$17)</f>
        <v>16607.154906425596</v>
      </c>
      <c r="G38" s="16">
        <f>IF($A38&gt;Settings!$B$15,"",C38-E38)</f>
        <v>186914.81508598052</v>
      </c>
    </row>
    <row r="39" spans="1:7" x14ac:dyDescent="0.25">
      <c r="A39" s="34">
        <v>25</v>
      </c>
      <c r="B39" s="35">
        <f>IF($A39&gt;Settings!$B$15,"",EDATE(Settings!$B$16,$A39-1))</f>
        <v>47088</v>
      </c>
      <c r="C39" s="16">
        <f>IF($A39&gt;Settings!$B$15,"",G38)</f>
        <v>186914.81508598052</v>
      </c>
      <c r="D39" s="16">
        <f>IF($A39&gt;Settings!$B$15,"",C39*Settings!$B$14/12)</f>
        <v>1869.1481508598051</v>
      </c>
      <c r="E39" s="16">
        <f>IF($A39&gt;Settings!$B$15,"",F39-D39)</f>
        <v>14738.006755565792</v>
      </c>
      <c r="F39" s="16">
        <f>IF($A39&gt;Settings!$B$15,"",Settings!$B$17)</f>
        <v>16607.154906425596</v>
      </c>
      <c r="G39" s="16">
        <f>IF($A39&gt;Settings!$B$15,"",C39-E39)</f>
        <v>172176.80833041473</v>
      </c>
    </row>
    <row r="40" spans="1:7" x14ac:dyDescent="0.25">
      <c r="A40" s="34">
        <v>26</v>
      </c>
      <c r="B40" s="35">
        <f>IF($A40&gt;Settings!$B$15,"",EDATE(Settings!$B$16,$A40-1))</f>
        <v>47119</v>
      </c>
      <c r="C40" s="16">
        <f>IF($A40&gt;Settings!$B$15,"",G39)</f>
        <v>172176.80833041473</v>
      </c>
      <c r="D40" s="16">
        <f>IF($A40&gt;Settings!$B$15,"",C40*Settings!$B$14/12)</f>
        <v>1721.768083304147</v>
      </c>
      <c r="E40" s="16">
        <f>IF($A40&gt;Settings!$B$15,"",F40-D40)</f>
        <v>14885.38682312145</v>
      </c>
      <c r="F40" s="16">
        <f>IF($A40&gt;Settings!$B$15,"",Settings!$B$17)</f>
        <v>16607.154906425596</v>
      </c>
      <c r="G40" s="16">
        <f>IF($A40&gt;Settings!$B$15,"",C40-E40)</f>
        <v>157291.42150729327</v>
      </c>
    </row>
    <row r="41" spans="1:7" x14ac:dyDescent="0.25">
      <c r="A41" s="34">
        <v>27</v>
      </c>
      <c r="B41" s="35">
        <f>IF($A41&gt;Settings!$B$15,"",EDATE(Settings!$B$16,$A41-1))</f>
        <v>47150</v>
      </c>
      <c r="C41" s="16">
        <f>IF($A41&gt;Settings!$B$15,"",G40)</f>
        <v>157291.42150729327</v>
      </c>
      <c r="D41" s="16">
        <f>IF($A41&gt;Settings!$B$15,"",C41*Settings!$B$14/12)</f>
        <v>1572.9142150729328</v>
      </c>
      <c r="E41" s="16">
        <f>IF($A41&gt;Settings!$B$15,"",F41-D41)</f>
        <v>15034.240691352663</v>
      </c>
      <c r="F41" s="16">
        <f>IF($A41&gt;Settings!$B$15,"",Settings!$B$17)</f>
        <v>16607.154906425596</v>
      </c>
      <c r="G41" s="16">
        <f>IF($A41&gt;Settings!$B$15,"",C41-E41)</f>
        <v>142257.1808159406</v>
      </c>
    </row>
    <row r="42" spans="1:7" x14ac:dyDescent="0.25">
      <c r="A42" s="34">
        <v>28</v>
      </c>
      <c r="B42" s="35">
        <f>IF($A42&gt;Settings!$B$15,"",EDATE(Settings!$B$16,$A42-1))</f>
        <v>47178</v>
      </c>
      <c r="C42" s="16">
        <f>IF($A42&gt;Settings!$B$15,"",G41)</f>
        <v>142257.1808159406</v>
      </c>
      <c r="D42" s="16">
        <f>IF($A42&gt;Settings!$B$15,"",C42*Settings!$B$14/12)</f>
        <v>1422.571808159406</v>
      </c>
      <c r="E42" s="16">
        <f>IF($A42&gt;Settings!$B$15,"",F42-D42)</f>
        <v>15184.58309826619</v>
      </c>
      <c r="F42" s="16">
        <f>IF($A42&gt;Settings!$B$15,"",Settings!$B$17)</f>
        <v>16607.154906425596</v>
      </c>
      <c r="G42" s="16">
        <f>IF($A42&gt;Settings!$B$15,"",C42-E42)</f>
        <v>127072.59771767442</v>
      </c>
    </row>
    <row r="43" spans="1:7" x14ac:dyDescent="0.25">
      <c r="A43" s="34">
        <v>29</v>
      </c>
      <c r="B43" s="35">
        <f>IF($A43&gt;Settings!$B$15,"",EDATE(Settings!$B$16,$A43-1))</f>
        <v>47209</v>
      </c>
      <c r="C43" s="16">
        <f>IF($A43&gt;Settings!$B$15,"",G42)</f>
        <v>127072.59771767442</v>
      </c>
      <c r="D43" s="16">
        <f>IF($A43&gt;Settings!$B$15,"",C43*Settings!$B$14/12)</f>
        <v>1270.7259771767442</v>
      </c>
      <c r="E43" s="16">
        <f>IF($A43&gt;Settings!$B$15,"",F43-D43)</f>
        <v>15336.428929248852</v>
      </c>
      <c r="F43" s="16">
        <f>IF($A43&gt;Settings!$B$15,"",Settings!$B$17)</f>
        <v>16607.154906425596</v>
      </c>
      <c r="G43" s="16">
        <f>IF($A43&gt;Settings!$B$15,"",C43-E43)</f>
        <v>111736.16878842557</v>
      </c>
    </row>
    <row r="44" spans="1:7" x14ac:dyDescent="0.25">
      <c r="A44" s="34">
        <v>30</v>
      </c>
      <c r="B44" s="35">
        <f>IF($A44&gt;Settings!$B$15,"",EDATE(Settings!$B$16,$A44-1))</f>
        <v>47239</v>
      </c>
      <c r="C44" s="16">
        <f>IF($A44&gt;Settings!$B$15,"",G43)</f>
        <v>111736.16878842557</v>
      </c>
      <c r="D44" s="16">
        <f>IF($A44&gt;Settings!$B$15,"",C44*Settings!$B$14/12)</f>
        <v>1117.3616878842556</v>
      </c>
      <c r="E44" s="16">
        <f>IF($A44&gt;Settings!$B$15,"",F44-D44)</f>
        <v>15489.793218541341</v>
      </c>
      <c r="F44" s="16">
        <f>IF($A44&gt;Settings!$B$15,"",Settings!$B$17)</f>
        <v>16607.154906425596</v>
      </c>
      <c r="G44" s="16">
        <f>IF($A44&gt;Settings!$B$15,"",C44-E44)</f>
        <v>96246.37556988423</v>
      </c>
    </row>
    <row r="45" spans="1:7" x14ac:dyDescent="0.25">
      <c r="A45" s="34">
        <v>31</v>
      </c>
      <c r="B45" s="35">
        <f>IF($A45&gt;Settings!$B$15,"",EDATE(Settings!$B$16,$A45-1))</f>
        <v>47270</v>
      </c>
      <c r="C45" s="16">
        <f>IF($A45&gt;Settings!$B$15,"",G44)</f>
        <v>96246.37556988423</v>
      </c>
      <c r="D45" s="16">
        <f>IF($A45&gt;Settings!$B$15,"",C45*Settings!$B$14/12)</f>
        <v>962.4637556988423</v>
      </c>
      <c r="E45" s="16">
        <f>IF($A45&gt;Settings!$B$15,"",F45-D45)</f>
        <v>15644.691150726754</v>
      </c>
      <c r="F45" s="16">
        <f>IF($A45&gt;Settings!$B$15,"",Settings!$B$17)</f>
        <v>16607.154906425596</v>
      </c>
      <c r="G45" s="16">
        <f>IF($A45&gt;Settings!$B$15,"",C45-E45)</f>
        <v>80601.68441915748</v>
      </c>
    </row>
    <row r="46" spans="1:7" x14ac:dyDescent="0.25">
      <c r="A46" s="34">
        <v>32</v>
      </c>
      <c r="B46" s="35">
        <f>IF($A46&gt;Settings!$B$15,"",EDATE(Settings!$B$16,$A46-1))</f>
        <v>47300</v>
      </c>
      <c r="C46" s="16">
        <f>IF($A46&gt;Settings!$B$15,"",G45)</f>
        <v>80601.68441915748</v>
      </c>
      <c r="D46" s="16">
        <f>IF($A46&gt;Settings!$B$15,"",C46*Settings!$B$14/12)</f>
        <v>806.0168441915748</v>
      </c>
      <c r="E46" s="16">
        <f>IF($A46&gt;Settings!$B$15,"",F46-D46)</f>
        <v>15801.138062234022</v>
      </c>
      <c r="F46" s="16">
        <f>IF($A46&gt;Settings!$B$15,"",Settings!$B$17)</f>
        <v>16607.154906425596</v>
      </c>
      <c r="G46" s="16">
        <f>IF($A46&gt;Settings!$B$15,"",C46-E46)</f>
        <v>64800.546356923456</v>
      </c>
    </row>
    <row r="47" spans="1:7" x14ac:dyDescent="0.25">
      <c r="A47" s="34">
        <v>33</v>
      </c>
      <c r="B47" s="35">
        <f>IF($A47&gt;Settings!$B$15,"",EDATE(Settings!$B$16,$A47-1))</f>
        <v>47331</v>
      </c>
      <c r="C47" s="16">
        <f>IF($A47&gt;Settings!$B$15,"",G46)</f>
        <v>64800.546356923456</v>
      </c>
      <c r="D47" s="16">
        <f>IF($A47&gt;Settings!$B$15,"",C47*Settings!$B$14/12)</f>
        <v>648.0054635692345</v>
      </c>
      <c r="E47" s="16">
        <f>IF($A47&gt;Settings!$B$15,"",F47-D47)</f>
        <v>15959.149442856362</v>
      </c>
      <c r="F47" s="16">
        <f>IF($A47&gt;Settings!$B$15,"",Settings!$B$17)</f>
        <v>16607.154906425596</v>
      </c>
      <c r="G47" s="16">
        <f>IF($A47&gt;Settings!$B$15,"",C47-E47)</f>
        <v>48841.396914067096</v>
      </c>
    </row>
    <row r="48" spans="1:7" x14ac:dyDescent="0.25">
      <c r="A48" s="34">
        <v>34</v>
      </c>
      <c r="B48" s="35">
        <f>IF($A48&gt;Settings!$B$15,"",EDATE(Settings!$B$16,$A48-1))</f>
        <v>47362</v>
      </c>
      <c r="C48" s="16">
        <f>IF($A48&gt;Settings!$B$15,"",G47)</f>
        <v>48841.396914067096</v>
      </c>
      <c r="D48" s="16">
        <f>IF($A48&gt;Settings!$B$15,"",C48*Settings!$B$14/12)</f>
        <v>488.413969140671</v>
      </c>
      <c r="E48" s="16">
        <f>IF($A48&gt;Settings!$B$15,"",F48-D48)</f>
        <v>16118.740937284925</v>
      </c>
      <c r="F48" s="16">
        <f>IF($A48&gt;Settings!$B$15,"",Settings!$B$17)</f>
        <v>16607.154906425596</v>
      </c>
      <c r="G48" s="16">
        <f>IF($A48&gt;Settings!$B$15,"",C48-E48)</f>
        <v>32722.65597678217</v>
      </c>
    </row>
    <row r="49" spans="1:7" x14ac:dyDescent="0.25">
      <c r="A49" s="34">
        <v>35</v>
      </c>
      <c r="B49" s="35">
        <f>IF($A49&gt;Settings!$B$15,"",EDATE(Settings!$B$16,$A49-1))</f>
        <v>47392</v>
      </c>
      <c r="C49" s="16">
        <f>IF($A49&gt;Settings!$B$15,"",G48)</f>
        <v>32722.65597678217</v>
      </c>
      <c r="D49" s="16">
        <f>IF($A49&gt;Settings!$B$15,"",C49*Settings!$B$14/12)</f>
        <v>327.2265597678217</v>
      </c>
      <c r="E49" s="16">
        <f>IF($A49&gt;Settings!$B$15,"",F49-D49)</f>
        <v>16279.928346657774</v>
      </c>
      <c r="F49" s="16">
        <f>IF($A49&gt;Settings!$B$15,"",Settings!$B$17)</f>
        <v>16607.154906425596</v>
      </c>
      <c r="G49" s="16">
        <f>IF($A49&gt;Settings!$B$15,"",C49-E49)</f>
        <v>16442.7276301244</v>
      </c>
    </row>
    <row r="50" spans="1:7" x14ac:dyDescent="0.25">
      <c r="A50" s="34">
        <v>36</v>
      </c>
      <c r="B50" s="35">
        <f>IF($A50&gt;Settings!$B$15,"",EDATE(Settings!$B$16,$A50-1))</f>
        <v>47423</v>
      </c>
      <c r="C50" s="16">
        <f>IF($A50&gt;Settings!$B$15,"",G49)</f>
        <v>16442.7276301244</v>
      </c>
      <c r="D50" s="16">
        <f>IF($A50&gt;Settings!$B$15,"",C50*Settings!$B$14/12)</f>
        <v>164.42727630124398</v>
      </c>
      <c r="E50" s="16">
        <f>IF($A50&gt;Settings!$B$15,"",F50-D50)</f>
        <v>16442.72763012435</v>
      </c>
      <c r="F50" s="16">
        <f>IF($A50&gt;Settings!$B$15,"",Settings!$B$17)</f>
        <v>16607.154906425596</v>
      </c>
      <c r="G50" s="16">
        <f>IF($A50&gt;Settings!$B$15,"",C50-E50)</f>
        <v>4.729372449219227e-11</v>
      </c>
    </row>
    <row r="51" spans="1:7" x14ac:dyDescent="0.25">
      <c r="A51" s="34">
        <v>37</v>
      </c>
      <c r="B51" s="35">
        <f>IF($A51&gt;Settings!$B$15,"",EDATE(Settings!$B$16,$A51-1))</f>
      </c>
      <c r="C51" s="16">
        <f>IF($A51&gt;Settings!$B$15,"",G50)</f>
      </c>
      <c r="D51" s="16">
        <f>IF($A51&gt;Settings!$B$15,"",C51*Settings!$B$14/12)</f>
      </c>
      <c r="E51" s="16">
        <f>IF($A51&gt;Settings!$B$15,"",F51-D51)</f>
      </c>
      <c r="F51" s="16">
        <f>IF($A51&gt;Settings!$B$15,"",Settings!$B$17)</f>
      </c>
      <c r="G51" s="16">
        <f>IF($A51&gt;Settings!$B$15,"",C51-E51)</f>
      </c>
    </row>
    <row r="52" spans="1:7" x14ac:dyDescent="0.25">
      <c r="A52" s="34">
        <v>38</v>
      </c>
      <c r="B52" s="35">
        <f>IF($A52&gt;Settings!$B$15,"",EDATE(Settings!$B$16,$A52-1))</f>
      </c>
      <c r="C52" s="16">
        <f>IF($A52&gt;Settings!$B$15,"",G51)</f>
      </c>
      <c r="D52" s="16">
        <f>IF($A52&gt;Settings!$B$15,"",C52*Settings!$B$14/12)</f>
      </c>
      <c r="E52" s="16">
        <f>IF($A52&gt;Settings!$B$15,"",F52-D52)</f>
      </c>
      <c r="F52" s="16">
        <f>IF($A52&gt;Settings!$B$15,"",Settings!$B$17)</f>
      </c>
      <c r="G52" s="16">
        <f>IF($A52&gt;Settings!$B$15,"",C52-E52)</f>
      </c>
    </row>
    <row r="53" spans="1:7" x14ac:dyDescent="0.25">
      <c r="A53" s="34">
        <v>39</v>
      </c>
      <c r="B53" s="35">
        <f>IF($A53&gt;Settings!$B$15,"",EDATE(Settings!$B$16,$A53-1))</f>
      </c>
      <c r="C53" s="16">
        <f>IF($A53&gt;Settings!$B$15,"",G52)</f>
      </c>
      <c r="D53" s="16">
        <f>IF($A53&gt;Settings!$B$15,"",C53*Settings!$B$14/12)</f>
      </c>
      <c r="E53" s="16">
        <f>IF($A53&gt;Settings!$B$15,"",F53-D53)</f>
      </c>
      <c r="F53" s="16">
        <f>IF($A53&gt;Settings!$B$15,"",Settings!$B$17)</f>
      </c>
      <c r="G53" s="16">
        <f>IF($A53&gt;Settings!$B$15,"",C53-E53)</f>
      </c>
    </row>
    <row r="54" spans="1:7" x14ac:dyDescent="0.25">
      <c r="A54" s="34">
        <v>40</v>
      </c>
      <c r="B54" s="35">
        <f>IF($A54&gt;Settings!$B$15,"",EDATE(Settings!$B$16,$A54-1))</f>
      </c>
      <c r="C54" s="16">
        <f>IF($A54&gt;Settings!$B$15,"",G53)</f>
      </c>
      <c r="D54" s="16">
        <f>IF($A54&gt;Settings!$B$15,"",C54*Settings!$B$14/12)</f>
      </c>
      <c r="E54" s="16">
        <f>IF($A54&gt;Settings!$B$15,"",F54-D54)</f>
      </c>
      <c r="F54" s="16">
        <f>IF($A54&gt;Settings!$B$15,"",Settings!$B$17)</f>
      </c>
      <c r="G54" s="16">
        <f>IF($A54&gt;Settings!$B$15,"",C54-E54)</f>
      </c>
    </row>
    <row r="55" spans="1:7" x14ac:dyDescent="0.25">
      <c r="A55" s="34">
        <v>41</v>
      </c>
      <c r="B55" s="35">
        <f>IF($A55&gt;Settings!$B$15,"",EDATE(Settings!$B$16,$A55-1))</f>
      </c>
      <c r="C55" s="16">
        <f>IF($A55&gt;Settings!$B$15,"",G54)</f>
      </c>
      <c r="D55" s="16">
        <f>IF($A55&gt;Settings!$B$15,"",C55*Settings!$B$14/12)</f>
      </c>
      <c r="E55" s="16">
        <f>IF($A55&gt;Settings!$B$15,"",F55-D55)</f>
      </c>
      <c r="F55" s="16">
        <f>IF($A55&gt;Settings!$B$15,"",Settings!$B$17)</f>
      </c>
      <c r="G55" s="16">
        <f>IF($A55&gt;Settings!$B$15,"",C55-E55)</f>
      </c>
    </row>
    <row r="56" spans="1:7" x14ac:dyDescent="0.25">
      <c r="A56" s="34">
        <v>42</v>
      </c>
      <c r="B56" s="35">
        <f>IF($A56&gt;Settings!$B$15,"",EDATE(Settings!$B$16,$A56-1))</f>
      </c>
      <c r="C56" s="16">
        <f>IF($A56&gt;Settings!$B$15,"",G55)</f>
      </c>
      <c r="D56" s="16">
        <f>IF($A56&gt;Settings!$B$15,"",C56*Settings!$B$14/12)</f>
      </c>
      <c r="E56" s="16">
        <f>IF($A56&gt;Settings!$B$15,"",F56-D56)</f>
      </c>
      <c r="F56" s="16">
        <f>IF($A56&gt;Settings!$B$15,"",Settings!$B$17)</f>
      </c>
      <c r="G56" s="16">
        <f>IF($A56&gt;Settings!$B$15,"",C56-E56)</f>
      </c>
    </row>
    <row r="57" spans="1:7" x14ac:dyDescent="0.25">
      <c r="A57" s="34">
        <v>43</v>
      </c>
      <c r="B57" s="35">
        <f>IF($A57&gt;Settings!$B$15,"",EDATE(Settings!$B$16,$A57-1))</f>
      </c>
      <c r="C57" s="16">
        <f>IF($A57&gt;Settings!$B$15,"",G56)</f>
      </c>
      <c r="D57" s="16">
        <f>IF($A57&gt;Settings!$B$15,"",C57*Settings!$B$14/12)</f>
      </c>
      <c r="E57" s="16">
        <f>IF($A57&gt;Settings!$B$15,"",F57-D57)</f>
      </c>
      <c r="F57" s="16">
        <f>IF($A57&gt;Settings!$B$15,"",Settings!$B$17)</f>
      </c>
      <c r="G57" s="16">
        <f>IF($A57&gt;Settings!$B$15,"",C57-E57)</f>
      </c>
    </row>
    <row r="58" spans="1:7" x14ac:dyDescent="0.25">
      <c r="A58" s="34">
        <v>44</v>
      </c>
      <c r="B58" s="35">
        <f>IF($A58&gt;Settings!$B$15,"",EDATE(Settings!$B$16,$A58-1))</f>
      </c>
      <c r="C58" s="16">
        <f>IF($A58&gt;Settings!$B$15,"",G57)</f>
      </c>
      <c r="D58" s="16">
        <f>IF($A58&gt;Settings!$B$15,"",C58*Settings!$B$14/12)</f>
      </c>
      <c r="E58" s="16">
        <f>IF($A58&gt;Settings!$B$15,"",F58-D58)</f>
      </c>
      <c r="F58" s="16">
        <f>IF($A58&gt;Settings!$B$15,"",Settings!$B$17)</f>
      </c>
      <c r="G58" s="16">
        <f>IF($A58&gt;Settings!$B$15,"",C58-E58)</f>
      </c>
    </row>
    <row r="59" spans="1:7" x14ac:dyDescent="0.25">
      <c r="A59" s="34">
        <v>45</v>
      </c>
      <c r="B59" s="35">
        <f>IF($A59&gt;Settings!$B$15,"",EDATE(Settings!$B$16,$A59-1))</f>
      </c>
      <c r="C59" s="16">
        <f>IF($A59&gt;Settings!$B$15,"",G58)</f>
      </c>
      <c r="D59" s="16">
        <f>IF($A59&gt;Settings!$B$15,"",C59*Settings!$B$14/12)</f>
      </c>
      <c r="E59" s="16">
        <f>IF($A59&gt;Settings!$B$15,"",F59-D59)</f>
      </c>
      <c r="F59" s="16">
        <f>IF($A59&gt;Settings!$B$15,"",Settings!$B$17)</f>
      </c>
      <c r="G59" s="16">
        <f>IF($A59&gt;Settings!$B$15,"",C59-E59)</f>
      </c>
    </row>
    <row r="60" spans="1:7" x14ac:dyDescent="0.25">
      <c r="A60" s="34">
        <v>46</v>
      </c>
      <c r="B60" s="35">
        <f>IF($A60&gt;Settings!$B$15,"",EDATE(Settings!$B$16,$A60-1))</f>
      </c>
      <c r="C60" s="16">
        <f>IF($A60&gt;Settings!$B$15,"",G59)</f>
      </c>
      <c r="D60" s="16">
        <f>IF($A60&gt;Settings!$B$15,"",C60*Settings!$B$14/12)</f>
      </c>
      <c r="E60" s="16">
        <f>IF($A60&gt;Settings!$B$15,"",F60-D60)</f>
      </c>
      <c r="F60" s="16">
        <f>IF($A60&gt;Settings!$B$15,"",Settings!$B$17)</f>
      </c>
      <c r="G60" s="16">
        <f>IF($A60&gt;Settings!$B$15,"",C60-E60)</f>
      </c>
    </row>
    <row r="61" spans="1:7" x14ac:dyDescent="0.25">
      <c r="A61" s="34">
        <v>47</v>
      </c>
      <c r="B61" s="35">
        <f>IF($A61&gt;Settings!$B$15,"",EDATE(Settings!$B$16,$A61-1))</f>
      </c>
      <c r="C61" s="16">
        <f>IF($A61&gt;Settings!$B$15,"",G60)</f>
      </c>
      <c r="D61" s="16">
        <f>IF($A61&gt;Settings!$B$15,"",C61*Settings!$B$14/12)</f>
      </c>
      <c r="E61" s="16">
        <f>IF($A61&gt;Settings!$B$15,"",F61-D61)</f>
      </c>
      <c r="F61" s="16">
        <f>IF($A61&gt;Settings!$B$15,"",Settings!$B$17)</f>
      </c>
      <c r="G61" s="16">
        <f>IF($A61&gt;Settings!$B$15,"",C61-E61)</f>
      </c>
    </row>
    <row r="62" spans="1:7" x14ac:dyDescent="0.25">
      <c r="A62" s="34">
        <v>48</v>
      </c>
      <c r="B62" s="35">
        <f>IF($A62&gt;Settings!$B$15,"",EDATE(Settings!$B$16,$A62-1))</f>
      </c>
      <c r="C62" s="16">
        <f>IF($A62&gt;Settings!$B$15,"",G61)</f>
      </c>
      <c r="D62" s="16">
        <f>IF($A62&gt;Settings!$B$15,"",C62*Settings!$B$14/12)</f>
      </c>
      <c r="E62" s="16">
        <f>IF($A62&gt;Settings!$B$15,"",F62-D62)</f>
      </c>
      <c r="F62" s="16">
        <f>IF($A62&gt;Settings!$B$15,"",Settings!$B$17)</f>
      </c>
      <c r="G62" s="16">
        <f>IF($A62&gt;Settings!$B$15,"",C62-E62)</f>
      </c>
    </row>
    <row r="63" spans="1:7" x14ac:dyDescent="0.25">
      <c r="A63" s="34">
        <v>49</v>
      </c>
      <c r="B63" s="35">
        <f>IF($A63&gt;Settings!$B$15,"",EDATE(Settings!$B$16,$A63-1))</f>
      </c>
      <c r="C63" s="16">
        <f>IF($A63&gt;Settings!$B$15,"",G62)</f>
      </c>
      <c r="D63" s="16">
        <f>IF($A63&gt;Settings!$B$15,"",C63*Settings!$B$14/12)</f>
      </c>
      <c r="E63" s="16">
        <f>IF($A63&gt;Settings!$B$15,"",F63-D63)</f>
      </c>
      <c r="F63" s="16">
        <f>IF($A63&gt;Settings!$B$15,"",Settings!$B$17)</f>
      </c>
      <c r="G63" s="16">
        <f>IF($A63&gt;Settings!$B$15,"",C63-E63)</f>
      </c>
    </row>
    <row r="64" spans="1:7" x14ac:dyDescent="0.25">
      <c r="A64" s="34">
        <v>50</v>
      </c>
      <c r="B64" s="35">
        <f>IF($A64&gt;Settings!$B$15,"",EDATE(Settings!$B$16,$A64-1))</f>
      </c>
      <c r="C64" s="16">
        <f>IF($A64&gt;Settings!$B$15,"",G63)</f>
      </c>
      <c r="D64" s="16">
        <f>IF($A64&gt;Settings!$B$15,"",C64*Settings!$B$14/12)</f>
      </c>
      <c r="E64" s="16">
        <f>IF($A64&gt;Settings!$B$15,"",F64-D64)</f>
      </c>
      <c r="F64" s="16">
        <f>IF($A64&gt;Settings!$B$15,"",Settings!$B$17)</f>
      </c>
      <c r="G64" s="16">
        <f>IF($A64&gt;Settings!$B$15,"",C64-E64)</f>
      </c>
    </row>
    <row r="65" spans="1:7" x14ac:dyDescent="0.25">
      <c r="A65" s="34">
        <v>51</v>
      </c>
      <c r="B65" s="35">
        <f>IF($A65&gt;Settings!$B$15,"",EDATE(Settings!$B$16,$A65-1))</f>
      </c>
      <c r="C65" s="16">
        <f>IF($A65&gt;Settings!$B$15,"",G64)</f>
      </c>
      <c r="D65" s="16">
        <f>IF($A65&gt;Settings!$B$15,"",C65*Settings!$B$14/12)</f>
      </c>
      <c r="E65" s="16">
        <f>IF($A65&gt;Settings!$B$15,"",F65-D65)</f>
      </c>
      <c r="F65" s="16">
        <f>IF($A65&gt;Settings!$B$15,"",Settings!$B$17)</f>
      </c>
      <c r="G65" s="16">
        <f>IF($A65&gt;Settings!$B$15,"",C65-E65)</f>
      </c>
    </row>
    <row r="66" spans="1:7" x14ac:dyDescent="0.25">
      <c r="A66" s="34">
        <v>52</v>
      </c>
      <c r="B66" s="35">
        <f>IF($A66&gt;Settings!$B$15,"",EDATE(Settings!$B$16,$A66-1))</f>
      </c>
      <c r="C66" s="16">
        <f>IF($A66&gt;Settings!$B$15,"",G65)</f>
      </c>
      <c r="D66" s="16">
        <f>IF($A66&gt;Settings!$B$15,"",C66*Settings!$B$14/12)</f>
      </c>
      <c r="E66" s="16">
        <f>IF($A66&gt;Settings!$B$15,"",F66-D66)</f>
      </c>
      <c r="F66" s="16">
        <f>IF($A66&gt;Settings!$B$15,"",Settings!$B$17)</f>
      </c>
      <c r="G66" s="16">
        <f>IF($A66&gt;Settings!$B$15,"",C66-E66)</f>
      </c>
    </row>
    <row r="67" spans="1:7" x14ac:dyDescent="0.25">
      <c r="A67" s="34">
        <v>53</v>
      </c>
      <c r="B67" s="35">
        <f>IF($A67&gt;Settings!$B$15,"",EDATE(Settings!$B$16,$A67-1))</f>
      </c>
      <c r="C67" s="16">
        <f>IF($A67&gt;Settings!$B$15,"",G66)</f>
      </c>
      <c r="D67" s="16">
        <f>IF($A67&gt;Settings!$B$15,"",C67*Settings!$B$14/12)</f>
      </c>
      <c r="E67" s="16">
        <f>IF($A67&gt;Settings!$B$15,"",F67-D67)</f>
      </c>
      <c r="F67" s="16">
        <f>IF($A67&gt;Settings!$B$15,"",Settings!$B$17)</f>
      </c>
      <c r="G67" s="16">
        <f>IF($A67&gt;Settings!$B$15,"",C67-E67)</f>
      </c>
    </row>
    <row r="68" spans="1:7" x14ac:dyDescent="0.25">
      <c r="A68" s="34">
        <v>54</v>
      </c>
      <c r="B68" s="35">
        <f>IF($A68&gt;Settings!$B$15,"",EDATE(Settings!$B$16,$A68-1))</f>
      </c>
      <c r="C68" s="16">
        <f>IF($A68&gt;Settings!$B$15,"",G67)</f>
      </c>
      <c r="D68" s="16">
        <f>IF($A68&gt;Settings!$B$15,"",C68*Settings!$B$14/12)</f>
      </c>
      <c r="E68" s="16">
        <f>IF($A68&gt;Settings!$B$15,"",F68-D68)</f>
      </c>
      <c r="F68" s="16">
        <f>IF($A68&gt;Settings!$B$15,"",Settings!$B$17)</f>
      </c>
      <c r="G68" s="16">
        <f>IF($A68&gt;Settings!$B$15,"",C68-E68)</f>
      </c>
    </row>
    <row r="69" spans="1:7" x14ac:dyDescent="0.25">
      <c r="A69" s="34">
        <v>55</v>
      </c>
      <c r="B69" s="35">
        <f>IF($A69&gt;Settings!$B$15,"",EDATE(Settings!$B$16,$A69-1))</f>
      </c>
      <c r="C69" s="16">
        <f>IF($A69&gt;Settings!$B$15,"",G68)</f>
      </c>
      <c r="D69" s="16">
        <f>IF($A69&gt;Settings!$B$15,"",C69*Settings!$B$14/12)</f>
      </c>
      <c r="E69" s="16">
        <f>IF($A69&gt;Settings!$B$15,"",F69-D69)</f>
      </c>
      <c r="F69" s="16">
        <f>IF($A69&gt;Settings!$B$15,"",Settings!$B$17)</f>
      </c>
      <c r="G69" s="16">
        <f>IF($A69&gt;Settings!$B$15,"",C69-E69)</f>
      </c>
    </row>
    <row r="70" spans="1:7" x14ac:dyDescent="0.25">
      <c r="A70" s="34">
        <v>56</v>
      </c>
      <c r="B70" s="35">
        <f>IF($A70&gt;Settings!$B$15,"",EDATE(Settings!$B$16,$A70-1))</f>
      </c>
      <c r="C70" s="16">
        <f>IF($A70&gt;Settings!$B$15,"",G69)</f>
      </c>
      <c r="D70" s="16">
        <f>IF($A70&gt;Settings!$B$15,"",C70*Settings!$B$14/12)</f>
      </c>
      <c r="E70" s="16">
        <f>IF($A70&gt;Settings!$B$15,"",F70-D70)</f>
      </c>
      <c r="F70" s="16">
        <f>IF($A70&gt;Settings!$B$15,"",Settings!$B$17)</f>
      </c>
      <c r="G70" s="16">
        <f>IF($A70&gt;Settings!$B$15,"",C70-E70)</f>
      </c>
    </row>
    <row r="71" spans="1:7" x14ac:dyDescent="0.25">
      <c r="A71" s="34">
        <v>57</v>
      </c>
      <c r="B71" s="35">
        <f>IF($A71&gt;Settings!$B$15,"",EDATE(Settings!$B$16,$A71-1))</f>
      </c>
      <c r="C71" s="16">
        <f>IF($A71&gt;Settings!$B$15,"",G70)</f>
      </c>
      <c r="D71" s="16">
        <f>IF($A71&gt;Settings!$B$15,"",C71*Settings!$B$14/12)</f>
      </c>
      <c r="E71" s="16">
        <f>IF($A71&gt;Settings!$B$15,"",F71-D71)</f>
      </c>
      <c r="F71" s="16">
        <f>IF($A71&gt;Settings!$B$15,"",Settings!$B$17)</f>
      </c>
      <c r="G71" s="16">
        <f>IF($A71&gt;Settings!$B$15,"",C71-E71)</f>
      </c>
    </row>
    <row r="72" spans="1:7" x14ac:dyDescent="0.25">
      <c r="A72" s="34">
        <v>58</v>
      </c>
      <c r="B72" s="35">
        <f>IF($A72&gt;Settings!$B$15,"",EDATE(Settings!$B$16,$A72-1))</f>
      </c>
      <c r="C72" s="16">
        <f>IF($A72&gt;Settings!$B$15,"",G71)</f>
      </c>
      <c r="D72" s="16">
        <f>IF($A72&gt;Settings!$B$15,"",C72*Settings!$B$14/12)</f>
      </c>
      <c r="E72" s="16">
        <f>IF($A72&gt;Settings!$B$15,"",F72-D72)</f>
      </c>
      <c r="F72" s="16">
        <f>IF($A72&gt;Settings!$B$15,"",Settings!$B$17)</f>
      </c>
      <c r="G72" s="16">
        <f>IF($A72&gt;Settings!$B$15,"",C72-E72)</f>
      </c>
    </row>
    <row r="73" spans="1:7" x14ac:dyDescent="0.25">
      <c r="A73" s="34">
        <v>59</v>
      </c>
      <c r="B73" s="35">
        <f>IF($A73&gt;Settings!$B$15,"",EDATE(Settings!$B$16,$A73-1))</f>
      </c>
      <c r="C73" s="16">
        <f>IF($A73&gt;Settings!$B$15,"",G72)</f>
      </c>
      <c r="D73" s="16">
        <f>IF($A73&gt;Settings!$B$15,"",C73*Settings!$B$14/12)</f>
      </c>
      <c r="E73" s="16">
        <f>IF($A73&gt;Settings!$B$15,"",F73-D73)</f>
      </c>
      <c r="F73" s="16">
        <f>IF($A73&gt;Settings!$B$15,"",Settings!$B$17)</f>
      </c>
      <c r="G73" s="16">
        <f>IF($A73&gt;Settings!$B$15,"",C73-E73)</f>
      </c>
    </row>
    <row r="74" spans="1:7" x14ac:dyDescent="0.25">
      <c r="A74" s="34">
        <v>60</v>
      </c>
      <c r="B74" s="35">
        <f>IF($A74&gt;Settings!$B$15,"",EDATE(Settings!$B$16,$A74-1))</f>
      </c>
      <c r="C74" s="16">
        <f>IF($A74&gt;Settings!$B$15,"",G73)</f>
      </c>
      <c r="D74" s="16">
        <f>IF($A74&gt;Settings!$B$15,"",C74*Settings!$B$14/12)</f>
      </c>
      <c r="E74" s="16">
        <f>IF($A74&gt;Settings!$B$15,"",F74-D74)</f>
      </c>
      <c r="F74" s="16">
        <f>IF($A74&gt;Settings!$B$15,"",Settings!$B$17)</f>
      </c>
      <c r="G74" s="16">
        <f>IF($A74&gt;Settings!$B$15,"",C74-E74)</f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 zoomScale="100" zoomScaleNormal="100">
      <pane xSplit="1" ySplit="5" topLeftCell="B6" activePane="bottomRight" state="frozen"/>
      <selection pane="bottomRight"/>
    </sheetView>
  </sheetViews>
  <sheetFormatPr defaultRowHeight="15" outlineLevelRow="0" outlineLevelCol="0" x14ac:dyDescent="0.2" defaultColWidth="8.6640625"/>
  <cols>
    <col min="1" max="1" width="50" customWidth="1"/>
    <col min="2" max="14" width="13" customWidth="1"/>
  </cols>
  <sheetData>
    <row r="1" ht="18" customHeight="1" spans="1:1" x14ac:dyDescent="0.25">
      <c r="A1" s="1" t="s">
        <v>148</v>
      </c>
    </row>
    <row r="2" spans="1:1" x14ac:dyDescent="0.25">
      <c r="A2" s="2" t="s">
        <v>149</v>
      </c>
    </row>
    <row r="5" ht="24" customHeight="1" spans="1:14" x14ac:dyDescent="0.25">
      <c r="A5" s="25" t="s">
        <v>150</v>
      </c>
      <c r="B5" s="36">
        <f>DATE(YEAR(Settings!B6),MONTH(Settings!B6),1)</f>
        <v>46327</v>
      </c>
      <c r="C5" s="36">
        <f t="shared" ref="C5:M5" si="0">EDATE(B5,1)</f>
        <v>46357</v>
      </c>
      <c r="D5" s="36">
        <f t="shared" si="0"/>
        <v>46388</v>
      </c>
      <c r="E5" s="36">
        <f t="shared" si="0"/>
        <v>46419</v>
      </c>
      <c r="F5" s="36">
        <f t="shared" si="0"/>
        <v>46447</v>
      </c>
      <c r="G5" s="36">
        <f t="shared" si="0"/>
        <v>46478</v>
      </c>
      <c r="H5" s="36">
        <f t="shared" si="0"/>
        <v>46508</v>
      </c>
      <c r="I5" s="36">
        <f t="shared" si="0"/>
        <v>46539</v>
      </c>
      <c r="J5" s="36">
        <f t="shared" si="0"/>
        <v>46569</v>
      </c>
      <c r="K5" s="36">
        <f t="shared" si="0"/>
        <v>46600</v>
      </c>
      <c r="L5" s="36">
        <f t="shared" si="0"/>
        <v>46631</v>
      </c>
      <c r="M5" s="36">
        <f t="shared" si="0"/>
        <v>46661</v>
      </c>
      <c r="N5" s="25" t="s">
        <v>151</v>
      </c>
    </row>
    <row r="6" spans="1:14" x14ac:dyDescent="0.25">
      <c r="A6" s="13" t="s">
        <v>152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x14ac:dyDescent="0.25">
      <c r="A7" s="15" t="s">
        <v>153</v>
      </c>
      <c r="B7" s="37">
        <f>COUNTIFS('Daily Sales'!$A$6:$A$1005,"&gt;="&amp;B$5,'Daily Sales'!$A$6:$A$1005,"&lt;"&amp;EDATE(B$5,1))</f>
        <v>4</v>
      </c>
      <c r="C7" s="37">
        <f>COUNTIFS('Daily Sales'!$A$6:$A$1005,"&gt;="&amp;C$5,'Daily Sales'!$A$6:$A$1005,"&lt;"&amp;EDATE(C$5,1))</f>
        <v>0</v>
      </c>
      <c r="D7" s="37">
        <f>COUNTIFS('Daily Sales'!$A$6:$A$1005,"&gt;="&amp;D$5,'Daily Sales'!$A$6:$A$1005,"&lt;"&amp;EDATE(D$5,1))</f>
        <v>0</v>
      </c>
      <c r="E7" s="37">
        <f>COUNTIFS('Daily Sales'!$A$6:$A$1005,"&gt;="&amp;E$5,'Daily Sales'!$A$6:$A$1005,"&lt;"&amp;EDATE(E$5,1))</f>
        <v>0</v>
      </c>
      <c r="F7" s="37">
        <f>COUNTIFS('Daily Sales'!$A$6:$A$1005,"&gt;="&amp;F$5,'Daily Sales'!$A$6:$A$1005,"&lt;"&amp;EDATE(F$5,1))</f>
        <v>0</v>
      </c>
      <c r="G7" s="37">
        <f>COUNTIFS('Daily Sales'!$A$6:$A$1005,"&gt;="&amp;G$5,'Daily Sales'!$A$6:$A$1005,"&lt;"&amp;EDATE(G$5,1))</f>
        <v>0</v>
      </c>
      <c r="H7" s="37">
        <f>COUNTIFS('Daily Sales'!$A$6:$A$1005,"&gt;="&amp;H$5,'Daily Sales'!$A$6:$A$1005,"&lt;"&amp;EDATE(H$5,1))</f>
        <v>0</v>
      </c>
      <c r="I7" s="37">
        <f>COUNTIFS('Daily Sales'!$A$6:$A$1005,"&gt;="&amp;I$5,'Daily Sales'!$A$6:$A$1005,"&lt;"&amp;EDATE(I$5,1))</f>
        <v>0</v>
      </c>
      <c r="J7" s="37">
        <f>COUNTIFS('Daily Sales'!$A$6:$A$1005,"&gt;="&amp;J$5,'Daily Sales'!$A$6:$A$1005,"&lt;"&amp;EDATE(J$5,1))</f>
        <v>0</v>
      </c>
      <c r="K7" s="37">
        <f>COUNTIFS('Daily Sales'!$A$6:$A$1005,"&gt;="&amp;K$5,'Daily Sales'!$A$6:$A$1005,"&lt;"&amp;EDATE(K$5,1))</f>
        <v>0</v>
      </c>
      <c r="L7" s="37">
        <f>COUNTIFS('Daily Sales'!$A$6:$A$1005,"&gt;="&amp;L$5,'Daily Sales'!$A$6:$A$1005,"&lt;"&amp;EDATE(L$5,1))</f>
        <v>0</v>
      </c>
      <c r="M7" s="37">
        <f>COUNTIFS('Daily Sales'!$A$6:$A$1005,"&gt;="&amp;M$5,'Daily Sales'!$A$6:$A$1005,"&lt;"&amp;EDATE(M$5,1))</f>
        <v>0</v>
      </c>
      <c r="N7" s="18">
        <f>SUM(B7:M7)</f>
        <v>4</v>
      </c>
    </row>
    <row r="8" spans="1:14" x14ac:dyDescent="0.25">
      <c r="A8" s="15" t="s">
        <v>35</v>
      </c>
      <c r="B8" s="37">
        <f>SUMIFS('Daily Sales'!$K$6:$K$1005,'Daily Sales'!$A$6:$A$1005,"&gt;="&amp;B$5,'Daily Sales'!$A$6:$A$1005,"&lt;"&amp;EDATE(B$5,1))</f>
        <v>167</v>
      </c>
      <c r="C8" s="37">
        <f>SUMIFS('Daily Sales'!$K$6:$K$1005,'Daily Sales'!$A$6:$A$1005,"&gt;="&amp;C$5,'Daily Sales'!$A$6:$A$1005,"&lt;"&amp;EDATE(C$5,1))</f>
        <v>0</v>
      </c>
      <c r="D8" s="37">
        <f>SUMIFS('Daily Sales'!$K$6:$K$1005,'Daily Sales'!$A$6:$A$1005,"&gt;="&amp;D$5,'Daily Sales'!$A$6:$A$1005,"&lt;"&amp;EDATE(D$5,1))</f>
        <v>0</v>
      </c>
      <c r="E8" s="37">
        <f>SUMIFS('Daily Sales'!$K$6:$K$1005,'Daily Sales'!$A$6:$A$1005,"&gt;="&amp;E$5,'Daily Sales'!$A$6:$A$1005,"&lt;"&amp;EDATE(E$5,1))</f>
        <v>0</v>
      </c>
      <c r="F8" s="37">
        <f>SUMIFS('Daily Sales'!$K$6:$K$1005,'Daily Sales'!$A$6:$A$1005,"&gt;="&amp;F$5,'Daily Sales'!$A$6:$A$1005,"&lt;"&amp;EDATE(F$5,1))</f>
        <v>0</v>
      </c>
      <c r="G8" s="37">
        <f>SUMIFS('Daily Sales'!$K$6:$K$1005,'Daily Sales'!$A$6:$A$1005,"&gt;="&amp;G$5,'Daily Sales'!$A$6:$A$1005,"&lt;"&amp;EDATE(G$5,1))</f>
        <v>0</v>
      </c>
      <c r="H8" s="37">
        <f>SUMIFS('Daily Sales'!$K$6:$K$1005,'Daily Sales'!$A$6:$A$1005,"&gt;="&amp;H$5,'Daily Sales'!$A$6:$A$1005,"&lt;"&amp;EDATE(H$5,1))</f>
        <v>0</v>
      </c>
      <c r="I8" s="37">
        <f>SUMIFS('Daily Sales'!$K$6:$K$1005,'Daily Sales'!$A$6:$A$1005,"&gt;="&amp;I$5,'Daily Sales'!$A$6:$A$1005,"&lt;"&amp;EDATE(I$5,1))</f>
        <v>0</v>
      </c>
      <c r="J8" s="37">
        <f>SUMIFS('Daily Sales'!$K$6:$K$1005,'Daily Sales'!$A$6:$A$1005,"&gt;="&amp;J$5,'Daily Sales'!$A$6:$A$1005,"&lt;"&amp;EDATE(J$5,1))</f>
        <v>0</v>
      </c>
      <c r="K8" s="37">
        <f>SUMIFS('Daily Sales'!$K$6:$K$1005,'Daily Sales'!$A$6:$A$1005,"&gt;="&amp;K$5,'Daily Sales'!$A$6:$A$1005,"&lt;"&amp;EDATE(K$5,1))</f>
        <v>0</v>
      </c>
      <c r="L8" s="37">
        <f>SUMIFS('Daily Sales'!$K$6:$K$1005,'Daily Sales'!$A$6:$A$1005,"&gt;="&amp;L$5,'Daily Sales'!$A$6:$A$1005,"&lt;"&amp;EDATE(L$5,1))</f>
        <v>0</v>
      </c>
      <c r="M8" s="37">
        <f>SUMIFS('Daily Sales'!$K$6:$K$1005,'Daily Sales'!$A$6:$A$1005,"&gt;="&amp;M$5,'Daily Sales'!$A$6:$A$1005,"&lt;"&amp;EDATE(M$5,1))</f>
        <v>0</v>
      </c>
      <c r="N8" s="18">
        <f>SUM(B8:M8)</f>
        <v>167</v>
      </c>
    </row>
    <row r="9" spans="1:14" x14ac:dyDescent="0.25">
      <c r="A9" s="15" t="s">
        <v>116</v>
      </c>
      <c r="B9" s="37">
        <f>SUMIFS('Daily Sales'!$E$6:$E$1005,'Daily Sales'!$A$6:$A$1005,"&gt;="&amp;B$5,'Daily Sales'!$A$6:$A$1005,"&lt;"&amp;EDATE(B$5,1))</f>
        <v>4</v>
      </c>
      <c r="C9" s="37">
        <f>SUMIFS('Daily Sales'!$E$6:$E$1005,'Daily Sales'!$A$6:$A$1005,"&gt;="&amp;C$5,'Daily Sales'!$A$6:$A$1005,"&lt;"&amp;EDATE(C$5,1))</f>
        <v>0</v>
      </c>
      <c r="D9" s="37">
        <f>SUMIFS('Daily Sales'!$E$6:$E$1005,'Daily Sales'!$A$6:$A$1005,"&gt;="&amp;D$5,'Daily Sales'!$A$6:$A$1005,"&lt;"&amp;EDATE(D$5,1))</f>
        <v>0</v>
      </c>
      <c r="E9" s="37">
        <f>SUMIFS('Daily Sales'!$E$6:$E$1005,'Daily Sales'!$A$6:$A$1005,"&gt;="&amp;E$5,'Daily Sales'!$A$6:$A$1005,"&lt;"&amp;EDATE(E$5,1))</f>
        <v>0</v>
      </c>
      <c r="F9" s="37">
        <f>SUMIFS('Daily Sales'!$E$6:$E$1005,'Daily Sales'!$A$6:$A$1005,"&gt;="&amp;F$5,'Daily Sales'!$A$6:$A$1005,"&lt;"&amp;EDATE(F$5,1))</f>
        <v>0</v>
      </c>
      <c r="G9" s="37">
        <f>SUMIFS('Daily Sales'!$E$6:$E$1005,'Daily Sales'!$A$6:$A$1005,"&gt;="&amp;G$5,'Daily Sales'!$A$6:$A$1005,"&lt;"&amp;EDATE(G$5,1))</f>
        <v>0</v>
      </c>
      <c r="H9" s="37">
        <f>SUMIFS('Daily Sales'!$E$6:$E$1005,'Daily Sales'!$A$6:$A$1005,"&gt;="&amp;H$5,'Daily Sales'!$A$6:$A$1005,"&lt;"&amp;EDATE(H$5,1))</f>
        <v>0</v>
      </c>
      <c r="I9" s="37">
        <f>SUMIFS('Daily Sales'!$E$6:$E$1005,'Daily Sales'!$A$6:$A$1005,"&gt;="&amp;I$5,'Daily Sales'!$A$6:$A$1005,"&lt;"&amp;EDATE(I$5,1))</f>
        <v>0</v>
      </c>
      <c r="J9" s="37">
        <f>SUMIFS('Daily Sales'!$E$6:$E$1005,'Daily Sales'!$A$6:$A$1005,"&gt;="&amp;J$5,'Daily Sales'!$A$6:$A$1005,"&lt;"&amp;EDATE(J$5,1))</f>
        <v>0</v>
      </c>
      <c r="K9" s="37">
        <f>SUMIFS('Daily Sales'!$E$6:$E$1005,'Daily Sales'!$A$6:$A$1005,"&gt;="&amp;K$5,'Daily Sales'!$A$6:$A$1005,"&lt;"&amp;EDATE(K$5,1))</f>
        <v>0</v>
      </c>
      <c r="L9" s="37">
        <f>SUMIFS('Daily Sales'!$E$6:$E$1005,'Daily Sales'!$A$6:$A$1005,"&gt;="&amp;L$5,'Daily Sales'!$A$6:$A$1005,"&lt;"&amp;EDATE(L$5,1))</f>
        <v>0</v>
      </c>
      <c r="M9" s="37">
        <f>SUMIFS('Daily Sales'!$E$6:$E$1005,'Daily Sales'!$A$6:$A$1005,"&gt;="&amp;M$5,'Daily Sales'!$A$6:$A$1005,"&lt;"&amp;EDATE(M$5,1))</f>
        <v>0</v>
      </c>
      <c r="N9" s="18">
        <f>SUM(B9:M9)</f>
        <v>4</v>
      </c>
    </row>
    <row r="10" spans="1:14" x14ac:dyDescent="0.25">
      <c r="A10" s="15" t="s">
        <v>28</v>
      </c>
      <c r="B10" s="37">
        <f>SUMIFS('Daily Sales'!$L$6:$L$1005,'Daily Sales'!$A$6:$A$1005,"&gt;="&amp;B$5,'Daily Sales'!$A$6:$A$1005,"&lt;"&amp;EDATE(B$5,1))</f>
        <v>90200</v>
      </c>
      <c r="C10" s="37">
        <f>SUMIFS('Daily Sales'!$L$6:$L$1005,'Daily Sales'!$A$6:$A$1005,"&gt;="&amp;C$5,'Daily Sales'!$A$6:$A$1005,"&lt;"&amp;EDATE(C$5,1))</f>
        <v>0</v>
      </c>
      <c r="D10" s="37">
        <f>SUMIFS('Daily Sales'!$L$6:$L$1005,'Daily Sales'!$A$6:$A$1005,"&gt;="&amp;D$5,'Daily Sales'!$A$6:$A$1005,"&lt;"&amp;EDATE(D$5,1))</f>
        <v>0</v>
      </c>
      <c r="E10" s="37">
        <f>SUMIFS('Daily Sales'!$L$6:$L$1005,'Daily Sales'!$A$6:$A$1005,"&gt;="&amp;E$5,'Daily Sales'!$A$6:$A$1005,"&lt;"&amp;EDATE(E$5,1))</f>
        <v>0</v>
      </c>
      <c r="F10" s="37">
        <f>SUMIFS('Daily Sales'!$L$6:$L$1005,'Daily Sales'!$A$6:$A$1005,"&gt;="&amp;F$5,'Daily Sales'!$A$6:$A$1005,"&lt;"&amp;EDATE(F$5,1))</f>
        <v>0</v>
      </c>
      <c r="G10" s="37">
        <f>SUMIFS('Daily Sales'!$L$6:$L$1005,'Daily Sales'!$A$6:$A$1005,"&gt;="&amp;G$5,'Daily Sales'!$A$6:$A$1005,"&lt;"&amp;EDATE(G$5,1))</f>
        <v>0</v>
      </c>
      <c r="H10" s="37">
        <f>SUMIFS('Daily Sales'!$L$6:$L$1005,'Daily Sales'!$A$6:$A$1005,"&gt;="&amp;H$5,'Daily Sales'!$A$6:$A$1005,"&lt;"&amp;EDATE(H$5,1))</f>
        <v>0</v>
      </c>
      <c r="I10" s="37">
        <f>SUMIFS('Daily Sales'!$L$6:$L$1005,'Daily Sales'!$A$6:$A$1005,"&gt;="&amp;I$5,'Daily Sales'!$A$6:$A$1005,"&lt;"&amp;EDATE(I$5,1))</f>
        <v>0</v>
      </c>
      <c r="J10" s="37">
        <f>SUMIFS('Daily Sales'!$L$6:$L$1005,'Daily Sales'!$A$6:$A$1005,"&gt;="&amp;J$5,'Daily Sales'!$A$6:$A$1005,"&lt;"&amp;EDATE(J$5,1))</f>
        <v>0</v>
      </c>
      <c r="K10" s="37">
        <f>SUMIFS('Daily Sales'!$L$6:$L$1005,'Daily Sales'!$A$6:$A$1005,"&gt;="&amp;K$5,'Daily Sales'!$A$6:$A$1005,"&lt;"&amp;EDATE(K$5,1))</f>
        <v>0</v>
      </c>
      <c r="L10" s="37">
        <f>SUMIFS('Daily Sales'!$L$6:$L$1005,'Daily Sales'!$A$6:$A$1005,"&gt;="&amp;L$5,'Daily Sales'!$A$6:$A$1005,"&lt;"&amp;EDATE(L$5,1))</f>
        <v>0</v>
      </c>
      <c r="M10" s="37">
        <f>SUMIFS('Daily Sales'!$L$6:$L$1005,'Daily Sales'!$A$6:$A$1005,"&gt;="&amp;M$5,'Daily Sales'!$A$6:$A$1005,"&lt;"&amp;EDATE(M$5,1))</f>
        <v>0</v>
      </c>
      <c r="N10" s="18">
        <f>SUM(B10:M10)</f>
        <v>90200</v>
      </c>
    </row>
    <row r="11" spans="1:14" x14ac:dyDescent="0.25">
      <c r="A11" s="15" t="s">
        <v>154</v>
      </c>
      <c r="B11" s="37">
        <f>SUMIFS('Daily Sales'!$M$6:$M$1005,'Daily Sales'!$A$6:$A$1005,"&gt;="&amp;B$5,'Daily Sales'!$A$6:$A$1005,"&lt;"&amp;EDATE(B$5,1))</f>
        <v>9020</v>
      </c>
      <c r="C11" s="37">
        <f>SUMIFS('Daily Sales'!$M$6:$M$1005,'Daily Sales'!$A$6:$A$1005,"&gt;="&amp;C$5,'Daily Sales'!$A$6:$A$1005,"&lt;"&amp;EDATE(C$5,1))</f>
        <v>0</v>
      </c>
      <c r="D11" s="37">
        <f>SUMIFS('Daily Sales'!$M$6:$M$1005,'Daily Sales'!$A$6:$A$1005,"&gt;="&amp;D$5,'Daily Sales'!$A$6:$A$1005,"&lt;"&amp;EDATE(D$5,1))</f>
        <v>0</v>
      </c>
      <c r="E11" s="37">
        <f>SUMIFS('Daily Sales'!$M$6:$M$1005,'Daily Sales'!$A$6:$A$1005,"&gt;="&amp;E$5,'Daily Sales'!$A$6:$A$1005,"&lt;"&amp;EDATE(E$5,1))</f>
        <v>0</v>
      </c>
      <c r="F11" s="37">
        <f>SUMIFS('Daily Sales'!$M$6:$M$1005,'Daily Sales'!$A$6:$A$1005,"&gt;="&amp;F$5,'Daily Sales'!$A$6:$A$1005,"&lt;"&amp;EDATE(F$5,1))</f>
        <v>0</v>
      </c>
      <c r="G11" s="37">
        <f>SUMIFS('Daily Sales'!$M$6:$M$1005,'Daily Sales'!$A$6:$A$1005,"&gt;="&amp;G$5,'Daily Sales'!$A$6:$A$1005,"&lt;"&amp;EDATE(G$5,1))</f>
        <v>0</v>
      </c>
      <c r="H11" s="37">
        <f>SUMIFS('Daily Sales'!$M$6:$M$1005,'Daily Sales'!$A$6:$A$1005,"&gt;="&amp;H$5,'Daily Sales'!$A$6:$A$1005,"&lt;"&amp;EDATE(H$5,1))</f>
        <v>0</v>
      </c>
      <c r="I11" s="37">
        <f>SUMIFS('Daily Sales'!$M$6:$M$1005,'Daily Sales'!$A$6:$A$1005,"&gt;="&amp;I$5,'Daily Sales'!$A$6:$A$1005,"&lt;"&amp;EDATE(I$5,1))</f>
        <v>0</v>
      </c>
      <c r="J11" s="37">
        <f>SUMIFS('Daily Sales'!$M$6:$M$1005,'Daily Sales'!$A$6:$A$1005,"&gt;="&amp;J$5,'Daily Sales'!$A$6:$A$1005,"&lt;"&amp;EDATE(J$5,1))</f>
        <v>0</v>
      </c>
      <c r="K11" s="37">
        <f>SUMIFS('Daily Sales'!$M$6:$M$1005,'Daily Sales'!$A$6:$A$1005,"&gt;="&amp;K$5,'Daily Sales'!$A$6:$A$1005,"&lt;"&amp;EDATE(K$5,1))</f>
        <v>0</v>
      </c>
      <c r="L11" s="37">
        <f>SUMIFS('Daily Sales'!$M$6:$M$1005,'Daily Sales'!$A$6:$A$1005,"&gt;="&amp;L$5,'Daily Sales'!$A$6:$A$1005,"&lt;"&amp;EDATE(L$5,1))</f>
        <v>0</v>
      </c>
      <c r="M11" s="37">
        <f>SUMIFS('Daily Sales'!$M$6:$M$1005,'Daily Sales'!$A$6:$A$1005,"&gt;="&amp;M$5,'Daily Sales'!$A$6:$A$1005,"&lt;"&amp;EDATE(M$5,1))</f>
        <v>0</v>
      </c>
      <c r="N11" s="18">
        <f>SUM(B11:M11)</f>
        <v>9020</v>
      </c>
    </row>
    <row r="12" spans="1:14" x14ac:dyDescent="0.25">
      <c r="A12" s="9" t="s">
        <v>155</v>
      </c>
      <c r="B12" s="18">
        <f t="shared" ref="B12:N12" si="1">B10-B11</f>
        <v>81180</v>
      </c>
      <c r="C12" s="18">
        <f t="shared" si="1"/>
        <v>0</v>
      </c>
      <c r="D12" s="18">
        <f t="shared" si="1"/>
        <v>0</v>
      </c>
      <c r="E12" s="18">
        <f t="shared" si="1"/>
        <v>0</v>
      </c>
      <c r="F12" s="18">
        <f t="shared" si="1"/>
        <v>0</v>
      </c>
      <c r="G12" s="18">
        <f t="shared" si="1"/>
        <v>0</v>
      </c>
      <c r="H12" s="18">
        <f t="shared" si="1"/>
        <v>0</v>
      </c>
      <c r="I12" s="18">
        <f t="shared" si="1"/>
        <v>0</v>
      </c>
      <c r="J12" s="18">
        <f t="shared" si="1"/>
        <v>0</v>
      </c>
      <c r="K12" s="18">
        <f t="shared" si="1"/>
        <v>0</v>
      </c>
      <c r="L12" s="18">
        <f t="shared" si="1"/>
        <v>0</v>
      </c>
      <c r="M12" s="18">
        <f t="shared" si="1"/>
        <v>0</v>
      </c>
      <c r="N12" s="18">
        <f t="shared" si="1"/>
        <v>81180</v>
      </c>
    </row>
    <row r="13" spans="1:14" x14ac:dyDescent="0.25">
      <c r="A13" s="13" t="s">
        <v>30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x14ac:dyDescent="0.25">
      <c r="A14" s="15" t="str">
        <f>Settings!A41</f>
        <v>Ingredients</v>
      </c>
      <c r="B14" s="37">
        <f>SUMIFS(Expenses!$D$6:$D$2005,Expenses!$B$6:$B$2005,$A14,Expenses!$A$6:$A$2005,"&gt;="&amp;B$5,Expenses!$A$6:$A$2005,"&lt;"&amp;EDATE(B$5,1))</f>
        <v>0</v>
      </c>
      <c r="C14" s="37">
        <f>SUMIFS(Expenses!$D$6:$D$2005,Expenses!$B$6:$B$2005,$A14,Expenses!$A$6:$A$2005,"&gt;="&amp;C$5,Expenses!$A$6:$A$2005,"&lt;"&amp;EDATE(C$5,1))</f>
        <v>0</v>
      </c>
      <c r="D14" s="37">
        <f>SUMIFS(Expenses!$D$6:$D$2005,Expenses!$B$6:$B$2005,$A14,Expenses!$A$6:$A$2005,"&gt;="&amp;D$5,Expenses!$A$6:$A$2005,"&lt;"&amp;EDATE(D$5,1))</f>
        <v>0</v>
      </c>
      <c r="E14" s="37">
        <f>SUMIFS(Expenses!$D$6:$D$2005,Expenses!$B$6:$B$2005,$A14,Expenses!$A$6:$A$2005,"&gt;="&amp;E$5,Expenses!$A$6:$A$2005,"&lt;"&amp;EDATE(E$5,1))</f>
        <v>0</v>
      </c>
      <c r="F14" s="37">
        <f>SUMIFS(Expenses!$D$6:$D$2005,Expenses!$B$6:$B$2005,$A14,Expenses!$A$6:$A$2005,"&gt;="&amp;F$5,Expenses!$A$6:$A$2005,"&lt;"&amp;EDATE(F$5,1))</f>
        <v>0</v>
      </c>
      <c r="G14" s="37">
        <f>SUMIFS(Expenses!$D$6:$D$2005,Expenses!$B$6:$B$2005,$A14,Expenses!$A$6:$A$2005,"&gt;="&amp;G$5,Expenses!$A$6:$A$2005,"&lt;"&amp;EDATE(G$5,1))</f>
        <v>0</v>
      </c>
      <c r="H14" s="37">
        <f>SUMIFS(Expenses!$D$6:$D$2005,Expenses!$B$6:$B$2005,$A14,Expenses!$A$6:$A$2005,"&gt;="&amp;H$5,Expenses!$A$6:$A$2005,"&lt;"&amp;EDATE(H$5,1))</f>
        <v>0</v>
      </c>
      <c r="I14" s="37">
        <f>SUMIFS(Expenses!$D$6:$D$2005,Expenses!$B$6:$B$2005,$A14,Expenses!$A$6:$A$2005,"&gt;="&amp;I$5,Expenses!$A$6:$A$2005,"&lt;"&amp;EDATE(I$5,1))</f>
        <v>0</v>
      </c>
      <c r="J14" s="37">
        <f>SUMIFS(Expenses!$D$6:$D$2005,Expenses!$B$6:$B$2005,$A14,Expenses!$A$6:$A$2005,"&gt;="&amp;J$5,Expenses!$A$6:$A$2005,"&lt;"&amp;EDATE(J$5,1))</f>
        <v>0</v>
      </c>
      <c r="K14" s="37">
        <f>SUMIFS(Expenses!$D$6:$D$2005,Expenses!$B$6:$B$2005,$A14,Expenses!$A$6:$A$2005,"&gt;="&amp;K$5,Expenses!$A$6:$A$2005,"&lt;"&amp;EDATE(K$5,1))</f>
        <v>0</v>
      </c>
      <c r="L14" s="37">
        <f>SUMIFS(Expenses!$D$6:$D$2005,Expenses!$B$6:$B$2005,$A14,Expenses!$A$6:$A$2005,"&gt;="&amp;L$5,Expenses!$A$6:$A$2005,"&lt;"&amp;EDATE(L$5,1))</f>
        <v>0</v>
      </c>
      <c r="M14" s="37">
        <f>SUMIFS(Expenses!$D$6:$D$2005,Expenses!$B$6:$B$2005,$A14,Expenses!$A$6:$A$2005,"&gt;="&amp;M$5,Expenses!$A$6:$A$2005,"&lt;"&amp;EDATE(M$5,1))</f>
        <v>0</v>
      </c>
      <c r="N14" s="18">
        <f t="shared" ref="N14:N22" si="2">SUM(B14:M14)</f>
        <v>0</v>
      </c>
    </row>
    <row r="15" spans="1:14" x14ac:dyDescent="0.25">
      <c r="A15" s="15" t="str">
        <f>Settings!A42</f>
        <v>Packaging</v>
      </c>
      <c r="B15" s="37">
        <f>SUMIFS(Expenses!$D$6:$D$2005,Expenses!$B$6:$B$2005,$A15,Expenses!$A$6:$A$2005,"&gt;="&amp;B$5,Expenses!$A$6:$A$2005,"&lt;"&amp;EDATE(B$5,1))</f>
        <v>0</v>
      </c>
      <c r="C15" s="37">
        <f>SUMIFS(Expenses!$D$6:$D$2005,Expenses!$B$6:$B$2005,$A15,Expenses!$A$6:$A$2005,"&gt;="&amp;C$5,Expenses!$A$6:$A$2005,"&lt;"&amp;EDATE(C$5,1))</f>
        <v>0</v>
      </c>
      <c r="D15" s="37">
        <f>SUMIFS(Expenses!$D$6:$D$2005,Expenses!$B$6:$B$2005,$A15,Expenses!$A$6:$A$2005,"&gt;="&amp;D$5,Expenses!$A$6:$A$2005,"&lt;"&amp;EDATE(D$5,1))</f>
        <v>0</v>
      </c>
      <c r="E15" s="37">
        <f>SUMIFS(Expenses!$D$6:$D$2005,Expenses!$B$6:$B$2005,$A15,Expenses!$A$6:$A$2005,"&gt;="&amp;E$5,Expenses!$A$6:$A$2005,"&lt;"&amp;EDATE(E$5,1))</f>
        <v>0</v>
      </c>
      <c r="F15" s="37">
        <f>SUMIFS(Expenses!$D$6:$D$2005,Expenses!$B$6:$B$2005,$A15,Expenses!$A$6:$A$2005,"&gt;="&amp;F$5,Expenses!$A$6:$A$2005,"&lt;"&amp;EDATE(F$5,1))</f>
        <v>0</v>
      </c>
      <c r="G15" s="37">
        <f>SUMIFS(Expenses!$D$6:$D$2005,Expenses!$B$6:$B$2005,$A15,Expenses!$A$6:$A$2005,"&gt;="&amp;G$5,Expenses!$A$6:$A$2005,"&lt;"&amp;EDATE(G$5,1))</f>
        <v>0</v>
      </c>
      <c r="H15" s="37">
        <f>SUMIFS(Expenses!$D$6:$D$2005,Expenses!$B$6:$B$2005,$A15,Expenses!$A$6:$A$2005,"&gt;="&amp;H$5,Expenses!$A$6:$A$2005,"&lt;"&amp;EDATE(H$5,1))</f>
        <v>0</v>
      </c>
      <c r="I15" s="37">
        <f>SUMIFS(Expenses!$D$6:$D$2005,Expenses!$B$6:$B$2005,$A15,Expenses!$A$6:$A$2005,"&gt;="&amp;I$5,Expenses!$A$6:$A$2005,"&lt;"&amp;EDATE(I$5,1))</f>
        <v>0</v>
      </c>
      <c r="J15" s="37">
        <f>SUMIFS(Expenses!$D$6:$D$2005,Expenses!$B$6:$B$2005,$A15,Expenses!$A$6:$A$2005,"&gt;="&amp;J$5,Expenses!$A$6:$A$2005,"&lt;"&amp;EDATE(J$5,1))</f>
        <v>0</v>
      </c>
      <c r="K15" s="37">
        <f>SUMIFS(Expenses!$D$6:$D$2005,Expenses!$B$6:$B$2005,$A15,Expenses!$A$6:$A$2005,"&gt;="&amp;K$5,Expenses!$A$6:$A$2005,"&lt;"&amp;EDATE(K$5,1))</f>
        <v>0</v>
      </c>
      <c r="L15" s="37">
        <f>SUMIFS(Expenses!$D$6:$D$2005,Expenses!$B$6:$B$2005,$A15,Expenses!$A$6:$A$2005,"&gt;="&amp;L$5,Expenses!$A$6:$A$2005,"&lt;"&amp;EDATE(L$5,1))</f>
        <v>0</v>
      </c>
      <c r="M15" s="37">
        <f>SUMIFS(Expenses!$D$6:$D$2005,Expenses!$B$6:$B$2005,$A15,Expenses!$A$6:$A$2005,"&gt;="&amp;M$5,Expenses!$A$6:$A$2005,"&lt;"&amp;EDATE(M$5,1))</f>
        <v>0</v>
      </c>
      <c r="N15" s="18">
        <f t="shared" si="2"/>
        <v>0</v>
      </c>
    </row>
    <row r="16" spans="1:14" x14ac:dyDescent="0.25">
      <c r="A16" s="15" t="str">
        <f>Settings!A43</f>
        <v>Staff pay</v>
      </c>
      <c r="B16" s="37">
        <f>SUMIFS(Expenses!$D$6:$D$2005,Expenses!$B$6:$B$2005,$A16,Expenses!$A$6:$A$2005,"&gt;="&amp;B$5,Expenses!$A$6:$A$2005,"&lt;"&amp;EDATE(B$5,1))</f>
        <v>0</v>
      </c>
      <c r="C16" s="37">
        <f>SUMIFS(Expenses!$D$6:$D$2005,Expenses!$B$6:$B$2005,$A16,Expenses!$A$6:$A$2005,"&gt;="&amp;C$5,Expenses!$A$6:$A$2005,"&lt;"&amp;EDATE(C$5,1))</f>
        <v>0</v>
      </c>
      <c r="D16" s="37">
        <f>SUMIFS(Expenses!$D$6:$D$2005,Expenses!$B$6:$B$2005,$A16,Expenses!$A$6:$A$2005,"&gt;="&amp;D$5,Expenses!$A$6:$A$2005,"&lt;"&amp;EDATE(D$5,1))</f>
        <v>0</v>
      </c>
      <c r="E16" s="37">
        <f>SUMIFS(Expenses!$D$6:$D$2005,Expenses!$B$6:$B$2005,$A16,Expenses!$A$6:$A$2005,"&gt;="&amp;E$5,Expenses!$A$6:$A$2005,"&lt;"&amp;EDATE(E$5,1))</f>
        <v>0</v>
      </c>
      <c r="F16" s="37">
        <f>SUMIFS(Expenses!$D$6:$D$2005,Expenses!$B$6:$B$2005,$A16,Expenses!$A$6:$A$2005,"&gt;="&amp;F$5,Expenses!$A$6:$A$2005,"&lt;"&amp;EDATE(F$5,1))</f>
        <v>0</v>
      </c>
      <c r="G16" s="37">
        <f>SUMIFS(Expenses!$D$6:$D$2005,Expenses!$B$6:$B$2005,$A16,Expenses!$A$6:$A$2005,"&gt;="&amp;G$5,Expenses!$A$6:$A$2005,"&lt;"&amp;EDATE(G$5,1))</f>
        <v>0</v>
      </c>
      <c r="H16" s="37">
        <f>SUMIFS(Expenses!$D$6:$D$2005,Expenses!$B$6:$B$2005,$A16,Expenses!$A$6:$A$2005,"&gt;="&amp;H$5,Expenses!$A$6:$A$2005,"&lt;"&amp;EDATE(H$5,1))</f>
        <v>0</v>
      </c>
      <c r="I16" s="37">
        <f>SUMIFS(Expenses!$D$6:$D$2005,Expenses!$B$6:$B$2005,$A16,Expenses!$A$6:$A$2005,"&gt;="&amp;I$5,Expenses!$A$6:$A$2005,"&lt;"&amp;EDATE(I$5,1))</f>
        <v>0</v>
      </c>
      <c r="J16" s="37">
        <f>SUMIFS(Expenses!$D$6:$D$2005,Expenses!$B$6:$B$2005,$A16,Expenses!$A$6:$A$2005,"&gt;="&amp;J$5,Expenses!$A$6:$A$2005,"&lt;"&amp;EDATE(J$5,1))</f>
        <v>0</v>
      </c>
      <c r="K16" s="37">
        <f>SUMIFS(Expenses!$D$6:$D$2005,Expenses!$B$6:$B$2005,$A16,Expenses!$A$6:$A$2005,"&gt;="&amp;K$5,Expenses!$A$6:$A$2005,"&lt;"&amp;EDATE(K$5,1))</f>
        <v>0</v>
      </c>
      <c r="L16" s="37">
        <f>SUMIFS(Expenses!$D$6:$D$2005,Expenses!$B$6:$B$2005,$A16,Expenses!$A$6:$A$2005,"&gt;="&amp;L$5,Expenses!$A$6:$A$2005,"&lt;"&amp;EDATE(L$5,1))</f>
        <v>0</v>
      </c>
      <c r="M16" s="37">
        <f>SUMIFS(Expenses!$D$6:$D$2005,Expenses!$B$6:$B$2005,$A16,Expenses!$A$6:$A$2005,"&gt;="&amp;M$5,Expenses!$A$6:$A$2005,"&lt;"&amp;EDATE(M$5,1))</f>
        <v>0</v>
      </c>
      <c r="N16" s="18">
        <f t="shared" si="2"/>
        <v>0</v>
      </c>
    </row>
    <row r="17" spans="1:14" x14ac:dyDescent="0.25">
      <c r="A17" s="15" t="str">
        <f>Settings!A44</f>
        <v>Utilities</v>
      </c>
      <c r="B17" s="37">
        <f>SUMIFS(Expenses!$D$6:$D$2005,Expenses!$B$6:$B$2005,$A17,Expenses!$A$6:$A$2005,"&gt;="&amp;B$5,Expenses!$A$6:$A$2005,"&lt;"&amp;EDATE(B$5,1))</f>
        <v>0</v>
      </c>
      <c r="C17" s="37">
        <f>SUMIFS(Expenses!$D$6:$D$2005,Expenses!$B$6:$B$2005,$A17,Expenses!$A$6:$A$2005,"&gt;="&amp;C$5,Expenses!$A$6:$A$2005,"&lt;"&amp;EDATE(C$5,1))</f>
        <v>0</v>
      </c>
      <c r="D17" s="37">
        <f>SUMIFS(Expenses!$D$6:$D$2005,Expenses!$B$6:$B$2005,$A17,Expenses!$A$6:$A$2005,"&gt;="&amp;D$5,Expenses!$A$6:$A$2005,"&lt;"&amp;EDATE(D$5,1))</f>
        <v>0</v>
      </c>
      <c r="E17" s="37">
        <f>SUMIFS(Expenses!$D$6:$D$2005,Expenses!$B$6:$B$2005,$A17,Expenses!$A$6:$A$2005,"&gt;="&amp;E$5,Expenses!$A$6:$A$2005,"&lt;"&amp;EDATE(E$5,1))</f>
        <v>0</v>
      </c>
      <c r="F17" s="37">
        <f>SUMIFS(Expenses!$D$6:$D$2005,Expenses!$B$6:$B$2005,$A17,Expenses!$A$6:$A$2005,"&gt;="&amp;F$5,Expenses!$A$6:$A$2005,"&lt;"&amp;EDATE(F$5,1))</f>
        <v>0</v>
      </c>
      <c r="G17" s="37">
        <f>SUMIFS(Expenses!$D$6:$D$2005,Expenses!$B$6:$B$2005,$A17,Expenses!$A$6:$A$2005,"&gt;="&amp;G$5,Expenses!$A$6:$A$2005,"&lt;"&amp;EDATE(G$5,1))</f>
        <v>0</v>
      </c>
      <c r="H17" s="37">
        <f>SUMIFS(Expenses!$D$6:$D$2005,Expenses!$B$6:$B$2005,$A17,Expenses!$A$6:$A$2005,"&gt;="&amp;H$5,Expenses!$A$6:$A$2005,"&lt;"&amp;EDATE(H$5,1))</f>
        <v>0</v>
      </c>
      <c r="I17" s="37">
        <f>SUMIFS(Expenses!$D$6:$D$2005,Expenses!$B$6:$B$2005,$A17,Expenses!$A$6:$A$2005,"&gt;="&amp;I$5,Expenses!$A$6:$A$2005,"&lt;"&amp;EDATE(I$5,1))</f>
        <v>0</v>
      </c>
      <c r="J17" s="37">
        <f>SUMIFS(Expenses!$D$6:$D$2005,Expenses!$B$6:$B$2005,$A17,Expenses!$A$6:$A$2005,"&gt;="&amp;J$5,Expenses!$A$6:$A$2005,"&lt;"&amp;EDATE(J$5,1))</f>
        <v>0</v>
      </c>
      <c r="K17" s="37">
        <f>SUMIFS(Expenses!$D$6:$D$2005,Expenses!$B$6:$B$2005,$A17,Expenses!$A$6:$A$2005,"&gt;="&amp;K$5,Expenses!$A$6:$A$2005,"&lt;"&amp;EDATE(K$5,1))</f>
        <v>0</v>
      </c>
      <c r="L17" s="37">
        <f>SUMIFS(Expenses!$D$6:$D$2005,Expenses!$B$6:$B$2005,$A17,Expenses!$A$6:$A$2005,"&gt;="&amp;L$5,Expenses!$A$6:$A$2005,"&lt;"&amp;EDATE(L$5,1))</f>
        <v>0</v>
      </c>
      <c r="M17" s="37">
        <f>SUMIFS(Expenses!$D$6:$D$2005,Expenses!$B$6:$B$2005,$A17,Expenses!$A$6:$A$2005,"&gt;="&amp;M$5,Expenses!$A$6:$A$2005,"&lt;"&amp;EDATE(M$5,1))</f>
        <v>0</v>
      </c>
      <c r="N17" s="18">
        <f t="shared" si="2"/>
        <v>0</v>
      </c>
    </row>
    <row r="18" spans="1:14" x14ac:dyDescent="0.25">
      <c r="A18" s="15" t="str">
        <f>Settings!A45</f>
        <v>Marketing</v>
      </c>
      <c r="B18" s="37">
        <f>SUMIFS(Expenses!$D$6:$D$2005,Expenses!$B$6:$B$2005,$A18,Expenses!$A$6:$A$2005,"&gt;="&amp;B$5,Expenses!$A$6:$A$2005,"&lt;"&amp;EDATE(B$5,1))</f>
        <v>0</v>
      </c>
      <c r="C18" s="37">
        <f>SUMIFS(Expenses!$D$6:$D$2005,Expenses!$B$6:$B$2005,$A18,Expenses!$A$6:$A$2005,"&gt;="&amp;C$5,Expenses!$A$6:$A$2005,"&lt;"&amp;EDATE(C$5,1))</f>
        <v>0</v>
      </c>
      <c r="D18" s="37">
        <f>SUMIFS(Expenses!$D$6:$D$2005,Expenses!$B$6:$B$2005,$A18,Expenses!$A$6:$A$2005,"&gt;="&amp;D$5,Expenses!$A$6:$A$2005,"&lt;"&amp;EDATE(D$5,1))</f>
        <v>0</v>
      </c>
      <c r="E18" s="37">
        <f>SUMIFS(Expenses!$D$6:$D$2005,Expenses!$B$6:$B$2005,$A18,Expenses!$A$6:$A$2005,"&gt;="&amp;E$5,Expenses!$A$6:$A$2005,"&lt;"&amp;EDATE(E$5,1))</f>
        <v>0</v>
      </c>
      <c r="F18" s="37">
        <f>SUMIFS(Expenses!$D$6:$D$2005,Expenses!$B$6:$B$2005,$A18,Expenses!$A$6:$A$2005,"&gt;="&amp;F$5,Expenses!$A$6:$A$2005,"&lt;"&amp;EDATE(F$5,1))</f>
        <v>0</v>
      </c>
      <c r="G18" s="37">
        <f>SUMIFS(Expenses!$D$6:$D$2005,Expenses!$B$6:$B$2005,$A18,Expenses!$A$6:$A$2005,"&gt;="&amp;G$5,Expenses!$A$6:$A$2005,"&lt;"&amp;EDATE(G$5,1))</f>
        <v>0</v>
      </c>
      <c r="H18" s="37">
        <f>SUMIFS(Expenses!$D$6:$D$2005,Expenses!$B$6:$B$2005,$A18,Expenses!$A$6:$A$2005,"&gt;="&amp;H$5,Expenses!$A$6:$A$2005,"&lt;"&amp;EDATE(H$5,1))</f>
        <v>0</v>
      </c>
      <c r="I18" s="37">
        <f>SUMIFS(Expenses!$D$6:$D$2005,Expenses!$B$6:$B$2005,$A18,Expenses!$A$6:$A$2005,"&gt;="&amp;I$5,Expenses!$A$6:$A$2005,"&lt;"&amp;EDATE(I$5,1))</f>
        <v>0</v>
      </c>
      <c r="J18" s="37">
        <f>SUMIFS(Expenses!$D$6:$D$2005,Expenses!$B$6:$B$2005,$A18,Expenses!$A$6:$A$2005,"&gt;="&amp;J$5,Expenses!$A$6:$A$2005,"&lt;"&amp;EDATE(J$5,1))</f>
        <v>0</v>
      </c>
      <c r="K18" s="37">
        <f>SUMIFS(Expenses!$D$6:$D$2005,Expenses!$B$6:$B$2005,$A18,Expenses!$A$6:$A$2005,"&gt;="&amp;K$5,Expenses!$A$6:$A$2005,"&lt;"&amp;EDATE(K$5,1))</f>
        <v>0</v>
      </c>
      <c r="L18" s="37">
        <f>SUMIFS(Expenses!$D$6:$D$2005,Expenses!$B$6:$B$2005,$A18,Expenses!$A$6:$A$2005,"&gt;="&amp;L$5,Expenses!$A$6:$A$2005,"&lt;"&amp;EDATE(L$5,1))</f>
        <v>0</v>
      </c>
      <c r="M18" s="37">
        <f>SUMIFS(Expenses!$D$6:$D$2005,Expenses!$B$6:$B$2005,$A18,Expenses!$A$6:$A$2005,"&gt;="&amp;M$5,Expenses!$A$6:$A$2005,"&lt;"&amp;EDATE(M$5,1))</f>
        <v>0</v>
      </c>
      <c r="N18" s="18">
        <f t="shared" si="2"/>
        <v>0</v>
      </c>
    </row>
    <row r="19" spans="1:14" x14ac:dyDescent="0.25">
      <c r="A19" s="15" t="str">
        <f>Settings!A46</f>
        <v>Transport</v>
      </c>
      <c r="B19" s="37">
        <f>SUMIFS(Expenses!$D$6:$D$2005,Expenses!$B$6:$B$2005,$A19,Expenses!$A$6:$A$2005,"&gt;="&amp;B$5,Expenses!$A$6:$A$2005,"&lt;"&amp;EDATE(B$5,1))</f>
        <v>0</v>
      </c>
      <c r="C19" s="37">
        <f>SUMIFS(Expenses!$D$6:$D$2005,Expenses!$B$6:$B$2005,$A19,Expenses!$A$6:$A$2005,"&gt;="&amp;C$5,Expenses!$A$6:$A$2005,"&lt;"&amp;EDATE(C$5,1))</f>
        <v>0</v>
      </c>
      <c r="D19" s="37">
        <f>SUMIFS(Expenses!$D$6:$D$2005,Expenses!$B$6:$B$2005,$A19,Expenses!$A$6:$A$2005,"&gt;="&amp;D$5,Expenses!$A$6:$A$2005,"&lt;"&amp;EDATE(D$5,1))</f>
        <v>0</v>
      </c>
      <c r="E19" s="37">
        <f>SUMIFS(Expenses!$D$6:$D$2005,Expenses!$B$6:$B$2005,$A19,Expenses!$A$6:$A$2005,"&gt;="&amp;E$5,Expenses!$A$6:$A$2005,"&lt;"&amp;EDATE(E$5,1))</f>
        <v>0</v>
      </c>
      <c r="F19" s="37">
        <f>SUMIFS(Expenses!$D$6:$D$2005,Expenses!$B$6:$B$2005,$A19,Expenses!$A$6:$A$2005,"&gt;="&amp;F$5,Expenses!$A$6:$A$2005,"&lt;"&amp;EDATE(F$5,1))</f>
        <v>0</v>
      </c>
      <c r="G19" s="37">
        <f>SUMIFS(Expenses!$D$6:$D$2005,Expenses!$B$6:$B$2005,$A19,Expenses!$A$6:$A$2005,"&gt;="&amp;G$5,Expenses!$A$6:$A$2005,"&lt;"&amp;EDATE(G$5,1))</f>
        <v>0</v>
      </c>
      <c r="H19" s="37">
        <f>SUMIFS(Expenses!$D$6:$D$2005,Expenses!$B$6:$B$2005,$A19,Expenses!$A$6:$A$2005,"&gt;="&amp;H$5,Expenses!$A$6:$A$2005,"&lt;"&amp;EDATE(H$5,1))</f>
        <v>0</v>
      </c>
      <c r="I19" s="37">
        <f>SUMIFS(Expenses!$D$6:$D$2005,Expenses!$B$6:$B$2005,$A19,Expenses!$A$6:$A$2005,"&gt;="&amp;I$5,Expenses!$A$6:$A$2005,"&lt;"&amp;EDATE(I$5,1))</f>
        <v>0</v>
      </c>
      <c r="J19" s="37">
        <f>SUMIFS(Expenses!$D$6:$D$2005,Expenses!$B$6:$B$2005,$A19,Expenses!$A$6:$A$2005,"&gt;="&amp;J$5,Expenses!$A$6:$A$2005,"&lt;"&amp;EDATE(J$5,1))</f>
        <v>0</v>
      </c>
      <c r="K19" s="37">
        <f>SUMIFS(Expenses!$D$6:$D$2005,Expenses!$B$6:$B$2005,$A19,Expenses!$A$6:$A$2005,"&gt;="&amp;K$5,Expenses!$A$6:$A$2005,"&lt;"&amp;EDATE(K$5,1))</f>
        <v>0</v>
      </c>
      <c r="L19" s="37">
        <f>SUMIFS(Expenses!$D$6:$D$2005,Expenses!$B$6:$B$2005,$A19,Expenses!$A$6:$A$2005,"&gt;="&amp;L$5,Expenses!$A$6:$A$2005,"&lt;"&amp;EDATE(L$5,1))</f>
        <v>0</v>
      </c>
      <c r="M19" s="37">
        <f>SUMIFS(Expenses!$D$6:$D$2005,Expenses!$B$6:$B$2005,$A19,Expenses!$A$6:$A$2005,"&gt;="&amp;M$5,Expenses!$A$6:$A$2005,"&lt;"&amp;EDATE(M$5,1))</f>
        <v>0</v>
      </c>
      <c r="N19" s="18">
        <f t="shared" si="2"/>
        <v>0</v>
      </c>
    </row>
    <row r="20" spans="1:14" x14ac:dyDescent="0.25">
      <c r="A20" s="15" t="str">
        <f>Settings!A47</f>
        <v>Repairs and supplies</v>
      </c>
      <c r="B20" s="37">
        <f>SUMIFS(Expenses!$D$6:$D$2005,Expenses!$B$6:$B$2005,$A20,Expenses!$A$6:$A$2005,"&gt;="&amp;B$5,Expenses!$A$6:$A$2005,"&lt;"&amp;EDATE(B$5,1))</f>
        <v>0</v>
      </c>
      <c r="C20" s="37">
        <f>SUMIFS(Expenses!$D$6:$D$2005,Expenses!$B$6:$B$2005,$A20,Expenses!$A$6:$A$2005,"&gt;="&amp;C$5,Expenses!$A$6:$A$2005,"&lt;"&amp;EDATE(C$5,1))</f>
        <v>0</v>
      </c>
      <c r="D20" s="37">
        <f>SUMIFS(Expenses!$D$6:$D$2005,Expenses!$B$6:$B$2005,$A20,Expenses!$A$6:$A$2005,"&gt;="&amp;D$5,Expenses!$A$6:$A$2005,"&lt;"&amp;EDATE(D$5,1))</f>
        <v>0</v>
      </c>
      <c r="E20" s="37">
        <f>SUMIFS(Expenses!$D$6:$D$2005,Expenses!$B$6:$B$2005,$A20,Expenses!$A$6:$A$2005,"&gt;="&amp;E$5,Expenses!$A$6:$A$2005,"&lt;"&amp;EDATE(E$5,1))</f>
        <v>0</v>
      </c>
      <c r="F20" s="37">
        <f>SUMIFS(Expenses!$D$6:$D$2005,Expenses!$B$6:$B$2005,$A20,Expenses!$A$6:$A$2005,"&gt;="&amp;F$5,Expenses!$A$6:$A$2005,"&lt;"&amp;EDATE(F$5,1))</f>
        <v>0</v>
      </c>
      <c r="G20" s="37">
        <f>SUMIFS(Expenses!$D$6:$D$2005,Expenses!$B$6:$B$2005,$A20,Expenses!$A$6:$A$2005,"&gt;="&amp;G$5,Expenses!$A$6:$A$2005,"&lt;"&amp;EDATE(G$5,1))</f>
        <v>0</v>
      </c>
      <c r="H20" s="37">
        <f>SUMIFS(Expenses!$D$6:$D$2005,Expenses!$B$6:$B$2005,$A20,Expenses!$A$6:$A$2005,"&gt;="&amp;H$5,Expenses!$A$6:$A$2005,"&lt;"&amp;EDATE(H$5,1))</f>
        <v>0</v>
      </c>
      <c r="I20" s="37">
        <f>SUMIFS(Expenses!$D$6:$D$2005,Expenses!$B$6:$B$2005,$A20,Expenses!$A$6:$A$2005,"&gt;="&amp;I$5,Expenses!$A$6:$A$2005,"&lt;"&amp;EDATE(I$5,1))</f>
        <v>0</v>
      </c>
      <c r="J20" s="37">
        <f>SUMIFS(Expenses!$D$6:$D$2005,Expenses!$B$6:$B$2005,$A20,Expenses!$A$6:$A$2005,"&gt;="&amp;J$5,Expenses!$A$6:$A$2005,"&lt;"&amp;EDATE(J$5,1))</f>
        <v>0</v>
      </c>
      <c r="K20" s="37">
        <f>SUMIFS(Expenses!$D$6:$D$2005,Expenses!$B$6:$B$2005,$A20,Expenses!$A$6:$A$2005,"&gt;="&amp;K$5,Expenses!$A$6:$A$2005,"&lt;"&amp;EDATE(K$5,1))</f>
        <v>0</v>
      </c>
      <c r="L20" s="37">
        <f>SUMIFS(Expenses!$D$6:$D$2005,Expenses!$B$6:$B$2005,$A20,Expenses!$A$6:$A$2005,"&gt;="&amp;L$5,Expenses!$A$6:$A$2005,"&lt;"&amp;EDATE(L$5,1))</f>
        <v>0</v>
      </c>
      <c r="M20" s="37">
        <f>SUMIFS(Expenses!$D$6:$D$2005,Expenses!$B$6:$B$2005,$A20,Expenses!$A$6:$A$2005,"&gt;="&amp;M$5,Expenses!$A$6:$A$2005,"&lt;"&amp;EDATE(M$5,1))</f>
        <v>0</v>
      </c>
      <c r="N20" s="18">
        <f t="shared" si="2"/>
        <v>0</v>
      </c>
    </row>
    <row r="21" spans="1:14" x14ac:dyDescent="0.25">
      <c r="A21" s="15" t="str">
        <f>Settings!A48</f>
        <v>Permits and registration</v>
      </c>
      <c r="B21" s="37">
        <f>SUMIFS(Expenses!$D$6:$D$2005,Expenses!$B$6:$B$2005,$A21,Expenses!$A$6:$A$2005,"&gt;="&amp;B$5,Expenses!$A$6:$A$2005,"&lt;"&amp;EDATE(B$5,1))</f>
        <v>0</v>
      </c>
      <c r="C21" s="37">
        <f>SUMIFS(Expenses!$D$6:$D$2005,Expenses!$B$6:$B$2005,$A21,Expenses!$A$6:$A$2005,"&gt;="&amp;C$5,Expenses!$A$6:$A$2005,"&lt;"&amp;EDATE(C$5,1))</f>
        <v>0</v>
      </c>
      <c r="D21" s="37">
        <f>SUMIFS(Expenses!$D$6:$D$2005,Expenses!$B$6:$B$2005,$A21,Expenses!$A$6:$A$2005,"&gt;="&amp;D$5,Expenses!$A$6:$A$2005,"&lt;"&amp;EDATE(D$5,1))</f>
        <v>0</v>
      </c>
      <c r="E21" s="37">
        <f>SUMIFS(Expenses!$D$6:$D$2005,Expenses!$B$6:$B$2005,$A21,Expenses!$A$6:$A$2005,"&gt;="&amp;E$5,Expenses!$A$6:$A$2005,"&lt;"&amp;EDATE(E$5,1))</f>
        <v>0</v>
      </c>
      <c r="F21" s="37">
        <f>SUMIFS(Expenses!$D$6:$D$2005,Expenses!$B$6:$B$2005,$A21,Expenses!$A$6:$A$2005,"&gt;="&amp;F$5,Expenses!$A$6:$A$2005,"&lt;"&amp;EDATE(F$5,1))</f>
        <v>0</v>
      </c>
      <c r="G21" s="37">
        <f>SUMIFS(Expenses!$D$6:$D$2005,Expenses!$B$6:$B$2005,$A21,Expenses!$A$6:$A$2005,"&gt;="&amp;G$5,Expenses!$A$6:$A$2005,"&lt;"&amp;EDATE(G$5,1))</f>
        <v>0</v>
      </c>
      <c r="H21" s="37">
        <f>SUMIFS(Expenses!$D$6:$D$2005,Expenses!$B$6:$B$2005,$A21,Expenses!$A$6:$A$2005,"&gt;="&amp;H$5,Expenses!$A$6:$A$2005,"&lt;"&amp;EDATE(H$5,1))</f>
        <v>0</v>
      </c>
      <c r="I21" s="37">
        <f>SUMIFS(Expenses!$D$6:$D$2005,Expenses!$B$6:$B$2005,$A21,Expenses!$A$6:$A$2005,"&gt;="&amp;I$5,Expenses!$A$6:$A$2005,"&lt;"&amp;EDATE(I$5,1))</f>
        <v>0</v>
      </c>
      <c r="J21" s="37">
        <f>SUMIFS(Expenses!$D$6:$D$2005,Expenses!$B$6:$B$2005,$A21,Expenses!$A$6:$A$2005,"&gt;="&amp;J$5,Expenses!$A$6:$A$2005,"&lt;"&amp;EDATE(J$5,1))</f>
        <v>0</v>
      </c>
      <c r="K21" s="37">
        <f>SUMIFS(Expenses!$D$6:$D$2005,Expenses!$B$6:$B$2005,$A21,Expenses!$A$6:$A$2005,"&gt;="&amp;K$5,Expenses!$A$6:$A$2005,"&lt;"&amp;EDATE(K$5,1))</f>
        <v>0</v>
      </c>
      <c r="L21" s="37">
        <f>SUMIFS(Expenses!$D$6:$D$2005,Expenses!$B$6:$B$2005,$A21,Expenses!$A$6:$A$2005,"&gt;="&amp;L$5,Expenses!$A$6:$A$2005,"&lt;"&amp;EDATE(L$5,1))</f>
        <v>0</v>
      </c>
      <c r="M21" s="37">
        <f>SUMIFS(Expenses!$D$6:$D$2005,Expenses!$B$6:$B$2005,$A21,Expenses!$A$6:$A$2005,"&gt;="&amp;M$5,Expenses!$A$6:$A$2005,"&lt;"&amp;EDATE(M$5,1))</f>
        <v>0</v>
      </c>
      <c r="N21" s="18">
        <f t="shared" si="2"/>
        <v>0</v>
      </c>
    </row>
    <row r="22" spans="1:14" x14ac:dyDescent="0.25">
      <c r="A22" s="15" t="str">
        <f>Settings!A49</f>
        <v>Other operating</v>
      </c>
      <c r="B22" s="37">
        <f>SUMIFS(Expenses!$D$6:$D$2005,Expenses!$B$6:$B$2005,$A22,Expenses!$A$6:$A$2005,"&gt;="&amp;B$5,Expenses!$A$6:$A$2005,"&lt;"&amp;EDATE(B$5,1))</f>
        <v>0</v>
      </c>
      <c r="C22" s="37">
        <f>SUMIFS(Expenses!$D$6:$D$2005,Expenses!$B$6:$B$2005,$A22,Expenses!$A$6:$A$2005,"&gt;="&amp;C$5,Expenses!$A$6:$A$2005,"&lt;"&amp;EDATE(C$5,1))</f>
        <v>0</v>
      </c>
      <c r="D22" s="37">
        <f>SUMIFS(Expenses!$D$6:$D$2005,Expenses!$B$6:$B$2005,$A22,Expenses!$A$6:$A$2005,"&gt;="&amp;D$5,Expenses!$A$6:$A$2005,"&lt;"&amp;EDATE(D$5,1))</f>
        <v>0</v>
      </c>
      <c r="E22" s="37">
        <f>SUMIFS(Expenses!$D$6:$D$2005,Expenses!$B$6:$B$2005,$A22,Expenses!$A$6:$A$2005,"&gt;="&amp;E$5,Expenses!$A$6:$A$2005,"&lt;"&amp;EDATE(E$5,1))</f>
        <v>0</v>
      </c>
      <c r="F22" s="37">
        <f>SUMIFS(Expenses!$D$6:$D$2005,Expenses!$B$6:$B$2005,$A22,Expenses!$A$6:$A$2005,"&gt;="&amp;F$5,Expenses!$A$6:$A$2005,"&lt;"&amp;EDATE(F$5,1))</f>
        <v>0</v>
      </c>
      <c r="G22" s="37">
        <f>SUMIFS(Expenses!$D$6:$D$2005,Expenses!$B$6:$B$2005,$A22,Expenses!$A$6:$A$2005,"&gt;="&amp;G$5,Expenses!$A$6:$A$2005,"&lt;"&amp;EDATE(G$5,1))</f>
        <v>0</v>
      </c>
      <c r="H22" s="37">
        <f>SUMIFS(Expenses!$D$6:$D$2005,Expenses!$B$6:$B$2005,$A22,Expenses!$A$6:$A$2005,"&gt;="&amp;H$5,Expenses!$A$6:$A$2005,"&lt;"&amp;EDATE(H$5,1))</f>
        <v>0</v>
      </c>
      <c r="I22" s="37">
        <f>SUMIFS(Expenses!$D$6:$D$2005,Expenses!$B$6:$B$2005,$A22,Expenses!$A$6:$A$2005,"&gt;="&amp;I$5,Expenses!$A$6:$A$2005,"&lt;"&amp;EDATE(I$5,1))</f>
        <v>0</v>
      </c>
      <c r="J22" s="37">
        <f>SUMIFS(Expenses!$D$6:$D$2005,Expenses!$B$6:$B$2005,$A22,Expenses!$A$6:$A$2005,"&gt;="&amp;J$5,Expenses!$A$6:$A$2005,"&lt;"&amp;EDATE(J$5,1))</f>
        <v>0</v>
      </c>
      <c r="K22" s="37">
        <f>SUMIFS(Expenses!$D$6:$D$2005,Expenses!$B$6:$B$2005,$A22,Expenses!$A$6:$A$2005,"&gt;="&amp;K$5,Expenses!$A$6:$A$2005,"&lt;"&amp;EDATE(K$5,1))</f>
        <v>0</v>
      </c>
      <c r="L22" s="37">
        <f>SUMIFS(Expenses!$D$6:$D$2005,Expenses!$B$6:$B$2005,$A22,Expenses!$A$6:$A$2005,"&gt;="&amp;L$5,Expenses!$A$6:$A$2005,"&lt;"&amp;EDATE(L$5,1))</f>
        <v>0</v>
      </c>
      <c r="M22" s="37">
        <f>SUMIFS(Expenses!$D$6:$D$2005,Expenses!$B$6:$B$2005,$A22,Expenses!$A$6:$A$2005,"&gt;="&amp;M$5,Expenses!$A$6:$A$2005,"&lt;"&amp;EDATE(M$5,1))</f>
        <v>0</v>
      </c>
      <c r="N22" s="18">
        <f t="shared" si="2"/>
        <v>0</v>
      </c>
    </row>
    <row r="23" spans="1:14" x14ac:dyDescent="0.25">
      <c r="A23" s="15" t="s">
        <v>156</v>
      </c>
      <c r="B23" s="37">
        <f t="shared" ref="B23:N23" si="3">B24-SUM(B14:B22)</f>
        <v>0</v>
      </c>
      <c r="C23" s="37">
        <f t="shared" si="3"/>
        <v>0</v>
      </c>
      <c r="D23" s="37">
        <f t="shared" si="3"/>
        <v>0</v>
      </c>
      <c r="E23" s="37">
        <f t="shared" si="3"/>
        <v>0</v>
      </c>
      <c r="F23" s="37">
        <f t="shared" si="3"/>
        <v>0</v>
      </c>
      <c r="G23" s="37">
        <f t="shared" si="3"/>
        <v>0</v>
      </c>
      <c r="H23" s="37">
        <f t="shared" si="3"/>
        <v>0</v>
      </c>
      <c r="I23" s="37">
        <f t="shared" si="3"/>
        <v>0</v>
      </c>
      <c r="J23" s="37">
        <f t="shared" si="3"/>
        <v>0</v>
      </c>
      <c r="K23" s="37">
        <f t="shared" si="3"/>
        <v>0</v>
      </c>
      <c r="L23" s="37">
        <f t="shared" si="3"/>
        <v>0</v>
      </c>
      <c r="M23" s="37">
        <f t="shared" si="3"/>
        <v>0</v>
      </c>
      <c r="N23" s="18">
        <f t="shared" si="3"/>
        <v>0</v>
      </c>
    </row>
    <row r="24" spans="1:14" x14ac:dyDescent="0.25">
      <c r="A24" s="9" t="s">
        <v>157</v>
      </c>
      <c r="B24" s="18">
        <f>SUMIFS(Expenses!$D$6:$D$2005,Expenses!$G$6:$G$2005,"Operating",Expenses!$A$6:$A$2005,"&gt;="&amp;B$5,Expenses!$A$6:$A$2005,"&lt;"&amp;EDATE(B$5,1))</f>
        <v>0</v>
      </c>
      <c r="C24" s="18">
        <f>SUMIFS(Expenses!$D$6:$D$2005,Expenses!$G$6:$G$2005,"Operating",Expenses!$A$6:$A$2005,"&gt;="&amp;C$5,Expenses!$A$6:$A$2005,"&lt;"&amp;EDATE(C$5,1))</f>
        <v>0</v>
      </c>
      <c r="D24" s="18">
        <f>SUMIFS(Expenses!$D$6:$D$2005,Expenses!$G$6:$G$2005,"Operating",Expenses!$A$6:$A$2005,"&gt;="&amp;D$5,Expenses!$A$6:$A$2005,"&lt;"&amp;EDATE(D$5,1))</f>
        <v>0</v>
      </c>
      <c r="E24" s="18">
        <f>SUMIFS(Expenses!$D$6:$D$2005,Expenses!$G$6:$G$2005,"Operating",Expenses!$A$6:$A$2005,"&gt;="&amp;E$5,Expenses!$A$6:$A$2005,"&lt;"&amp;EDATE(E$5,1))</f>
        <v>0</v>
      </c>
      <c r="F24" s="18">
        <f>SUMIFS(Expenses!$D$6:$D$2005,Expenses!$G$6:$G$2005,"Operating",Expenses!$A$6:$A$2005,"&gt;="&amp;F$5,Expenses!$A$6:$A$2005,"&lt;"&amp;EDATE(F$5,1))</f>
        <v>0</v>
      </c>
      <c r="G24" s="18">
        <f>SUMIFS(Expenses!$D$6:$D$2005,Expenses!$G$6:$G$2005,"Operating",Expenses!$A$6:$A$2005,"&gt;="&amp;G$5,Expenses!$A$6:$A$2005,"&lt;"&amp;EDATE(G$5,1))</f>
        <v>0</v>
      </c>
      <c r="H24" s="18">
        <f>SUMIFS(Expenses!$D$6:$D$2005,Expenses!$G$6:$G$2005,"Operating",Expenses!$A$6:$A$2005,"&gt;="&amp;H$5,Expenses!$A$6:$A$2005,"&lt;"&amp;EDATE(H$5,1))</f>
        <v>0</v>
      </c>
      <c r="I24" s="18">
        <f>SUMIFS(Expenses!$D$6:$D$2005,Expenses!$G$6:$G$2005,"Operating",Expenses!$A$6:$A$2005,"&gt;="&amp;I$5,Expenses!$A$6:$A$2005,"&lt;"&amp;EDATE(I$5,1))</f>
        <v>0</v>
      </c>
      <c r="J24" s="18">
        <f>SUMIFS(Expenses!$D$6:$D$2005,Expenses!$G$6:$G$2005,"Operating",Expenses!$A$6:$A$2005,"&gt;="&amp;J$5,Expenses!$A$6:$A$2005,"&lt;"&amp;EDATE(J$5,1))</f>
        <v>0</v>
      </c>
      <c r="K24" s="18">
        <f>SUMIFS(Expenses!$D$6:$D$2005,Expenses!$G$6:$G$2005,"Operating",Expenses!$A$6:$A$2005,"&gt;="&amp;K$5,Expenses!$A$6:$A$2005,"&lt;"&amp;EDATE(K$5,1))</f>
        <v>0</v>
      </c>
      <c r="L24" s="18">
        <f>SUMIFS(Expenses!$D$6:$D$2005,Expenses!$G$6:$G$2005,"Operating",Expenses!$A$6:$A$2005,"&gt;="&amp;L$5,Expenses!$A$6:$A$2005,"&lt;"&amp;EDATE(L$5,1))</f>
        <v>0</v>
      </c>
      <c r="M24" s="18">
        <f>SUMIFS(Expenses!$D$6:$D$2005,Expenses!$G$6:$G$2005,"Operating",Expenses!$A$6:$A$2005,"&gt;="&amp;M$5,Expenses!$A$6:$A$2005,"&lt;"&amp;EDATE(M$5,1))</f>
        <v>0</v>
      </c>
      <c r="N24" s="18">
        <f>SUM(B24:M24)</f>
        <v>0</v>
      </c>
    </row>
    <row r="25" spans="1:14" x14ac:dyDescent="0.25">
      <c r="A25" s="13" t="s">
        <v>158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x14ac:dyDescent="0.25">
      <c r="A26" s="9" t="s">
        <v>31</v>
      </c>
      <c r="B26" s="18">
        <f t="shared" ref="B26:N26" si="4">B12-B24</f>
        <v>81180</v>
      </c>
      <c r="C26" s="18">
        <f t="shared" si="4"/>
        <v>0</v>
      </c>
      <c r="D26" s="18">
        <f t="shared" si="4"/>
        <v>0</v>
      </c>
      <c r="E26" s="18">
        <f t="shared" si="4"/>
        <v>0</v>
      </c>
      <c r="F26" s="18">
        <f t="shared" si="4"/>
        <v>0</v>
      </c>
      <c r="G26" s="18">
        <f t="shared" si="4"/>
        <v>0</v>
      </c>
      <c r="H26" s="18">
        <f t="shared" si="4"/>
        <v>0</v>
      </c>
      <c r="I26" s="18">
        <f t="shared" si="4"/>
        <v>0</v>
      </c>
      <c r="J26" s="18">
        <f t="shared" si="4"/>
        <v>0</v>
      </c>
      <c r="K26" s="18">
        <f t="shared" si="4"/>
        <v>0</v>
      </c>
      <c r="L26" s="18">
        <f t="shared" si="4"/>
        <v>0</v>
      </c>
      <c r="M26" s="18">
        <f t="shared" si="4"/>
        <v>0</v>
      </c>
      <c r="N26" s="18">
        <f t="shared" si="4"/>
        <v>81180</v>
      </c>
    </row>
    <row r="27" spans="1:14" x14ac:dyDescent="0.25">
      <c r="A27" s="15" t="s">
        <v>32</v>
      </c>
      <c r="B27" s="37">
        <f>SUMIFS(Expenses!$D$6:$D$2005,Expenses!$G$6:$G$2005,"Loan",Expenses!$A$6:$A$2005,"&gt;="&amp;B$5,Expenses!$A$6:$A$2005,"&lt;"&amp;EDATE(B$5,1))</f>
        <v>0</v>
      </c>
      <c r="C27" s="37">
        <f>SUMIFS(Expenses!$D$6:$D$2005,Expenses!$G$6:$G$2005,"Loan",Expenses!$A$6:$A$2005,"&gt;="&amp;C$5,Expenses!$A$6:$A$2005,"&lt;"&amp;EDATE(C$5,1))</f>
        <v>0</v>
      </c>
      <c r="D27" s="37">
        <f>SUMIFS(Expenses!$D$6:$D$2005,Expenses!$G$6:$G$2005,"Loan",Expenses!$A$6:$A$2005,"&gt;="&amp;D$5,Expenses!$A$6:$A$2005,"&lt;"&amp;EDATE(D$5,1))</f>
        <v>0</v>
      </c>
      <c r="E27" s="37">
        <f>SUMIFS(Expenses!$D$6:$D$2005,Expenses!$G$6:$G$2005,"Loan",Expenses!$A$6:$A$2005,"&gt;="&amp;E$5,Expenses!$A$6:$A$2005,"&lt;"&amp;EDATE(E$5,1))</f>
        <v>0</v>
      </c>
      <c r="F27" s="37">
        <f>SUMIFS(Expenses!$D$6:$D$2005,Expenses!$G$6:$G$2005,"Loan",Expenses!$A$6:$A$2005,"&gt;="&amp;F$5,Expenses!$A$6:$A$2005,"&lt;"&amp;EDATE(F$5,1))</f>
        <v>0</v>
      </c>
      <c r="G27" s="37">
        <f>SUMIFS(Expenses!$D$6:$D$2005,Expenses!$G$6:$G$2005,"Loan",Expenses!$A$6:$A$2005,"&gt;="&amp;G$5,Expenses!$A$6:$A$2005,"&lt;"&amp;EDATE(G$5,1))</f>
        <v>0</v>
      </c>
      <c r="H27" s="37">
        <f>SUMIFS(Expenses!$D$6:$D$2005,Expenses!$G$6:$G$2005,"Loan",Expenses!$A$6:$A$2005,"&gt;="&amp;H$5,Expenses!$A$6:$A$2005,"&lt;"&amp;EDATE(H$5,1))</f>
        <v>0</v>
      </c>
      <c r="I27" s="37">
        <f>SUMIFS(Expenses!$D$6:$D$2005,Expenses!$G$6:$G$2005,"Loan",Expenses!$A$6:$A$2005,"&gt;="&amp;I$5,Expenses!$A$6:$A$2005,"&lt;"&amp;EDATE(I$5,1))</f>
        <v>0</v>
      </c>
      <c r="J27" s="37">
        <f>SUMIFS(Expenses!$D$6:$D$2005,Expenses!$G$6:$G$2005,"Loan",Expenses!$A$6:$A$2005,"&gt;="&amp;J$5,Expenses!$A$6:$A$2005,"&lt;"&amp;EDATE(J$5,1))</f>
        <v>0</v>
      </c>
      <c r="K27" s="37">
        <f>SUMIFS(Expenses!$D$6:$D$2005,Expenses!$G$6:$G$2005,"Loan",Expenses!$A$6:$A$2005,"&gt;="&amp;K$5,Expenses!$A$6:$A$2005,"&lt;"&amp;EDATE(K$5,1))</f>
        <v>0</v>
      </c>
      <c r="L27" s="37">
        <f>SUMIFS(Expenses!$D$6:$D$2005,Expenses!$G$6:$G$2005,"Loan",Expenses!$A$6:$A$2005,"&gt;="&amp;L$5,Expenses!$A$6:$A$2005,"&lt;"&amp;EDATE(L$5,1))</f>
        <v>0</v>
      </c>
      <c r="M27" s="37">
        <f>SUMIFS(Expenses!$D$6:$D$2005,Expenses!$G$6:$G$2005,"Loan",Expenses!$A$6:$A$2005,"&gt;="&amp;M$5,Expenses!$A$6:$A$2005,"&lt;"&amp;EDATE(M$5,1))</f>
        <v>0</v>
      </c>
      <c r="N27" s="18">
        <f>SUM(B27:M27)</f>
        <v>0</v>
      </c>
    </row>
    <row r="28" spans="1:14" x14ac:dyDescent="0.25">
      <c r="A28" s="9" t="s">
        <v>33</v>
      </c>
      <c r="B28" s="18">
        <f t="shared" ref="B28:N28" si="5">B26-B27</f>
        <v>81180</v>
      </c>
      <c r="C28" s="18">
        <f t="shared" si="5"/>
        <v>0</v>
      </c>
      <c r="D28" s="18">
        <f t="shared" si="5"/>
        <v>0</v>
      </c>
      <c r="E28" s="18">
        <f t="shared" si="5"/>
        <v>0</v>
      </c>
      <c r="F28" s="18">
        <f t="shared" si="5"/>
        <v>0</v>
      </c>
      <c r="G28" s="18">
        <f t="shared" si="5"/>
        <v>0</v>
      </c>
      <c r="H28" s="18">
        <f t="shared" si="5"/>
        <v>0</v>
      </c>
      <c r="I28" s="18">
        <f t="shared" si="5"/>
        <v>0</v>
      </c>
      <c r="J28" s="18">
        <f t="shared" si="5"/>
        <v>0</v>
      </c>
      <c r="K28" s="18">
        <f t="shared" si="5"/>
        <v>0</v>
      </c>
      <c r="L28" s="18">
        <f t="shared" si="5"/>
        <v>0</v>
      </c>
      <c r="M28" s="18">
        <f t="shared" si="5"/>
        <v>0</v>
      </c>
      <c r="N28" s="18">
        <f t="shared" si="5"/>
        <v>81180</v>
      </c>
    </row>
    <row r="29" spans="1:14" x14ac:dyDescent="0.25">
      <c r="A29" s="15" t="s">
        <v>159</v>
      </c>
      <c r="B29" s="38">
        <f t="shared" ref="B29:N29" si="6">IF(B10=0,0,B28/B10)</f>
        <v>0.9</v>
      </c>
      <c r="C29" s="38">
        <f t="shared" si="6"/>
        <v>0</v>
      </c>
      <c r="D29" s="38">
        <f t="shared" si="6"/>
        <v>0</v>
      </c>
      <c r="E29" s="38">
        <f t="shared" si="6"/>
        <v>0</v>
      </c>
      <c r="F29" s="38">
        <f t="shared" si="6"/>
        <v>0</v>
      </c>
      <c r="G29" s="38">
        <f t="shared" si="6"/>
        <v>0</v>
      </c>
      <c r="H29" s="38">
        <f t="shared" si="6"/>
        <v>0</v>
      </c>
      <c r="I29" s="38">
        <f t="shared" si="6"/>
        <v>0</v>
      </c>
      <c r="J29" s="38">
        <f t="shared" si="6"/>
        <v>0</v>
      </c>
      <c r="K29" s="38">
        <f t="shared" si="6"/>
        <v>0</v>
      </c>
      <c r="L29" s="38">
        <f t="shared" si="6"/>
        <v>0</v>
      </c>
      <c r="M29" s="38">
        <f t="shared" si="6"/>
        <v>0</v>
      </c>
      <c r="N29" s="39">
        <f t="shared" si="6"/>
        <v>0.9</v>
      </c>
    </row>
    <row r="30" spans="1:14" x14ac:dyDescent="0.25">
      <c r="A30" s="13" t="s">
        <v>160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x14ac:dyDescent="0.25">
      <c r="A31" s="15" t="s">
        <v>161</v>
      </c>
      <c r="B31" s="37">
        <f>SUMIFS(Expenses!$D$6:$D$2005,Expenses!$G$6:$G$2005,"Capital",Expenses!$A$6:$A$2005,"&gt;="&amp;B$5,Expenses!$A$6:$A$2005,"&lt;"&amp;EDATE(B$5,1))</f>
        <v>0</v>
      </c>
      <c r="C31" s="37">
        <f>SUMIFS(Expenses!$D$6:$D$2005,Expenses!$G$6:$G$2005,"Capital",Expenses!$A$6:$A$2005,"&gt;="&amp;C$5,Expenses!$A$6:$A$2005,"&lt;"&amp;EDATE(C$5,1))</f>
        <v>0</v>
      </c>
      <c r="D31" s="37">
        <f>SUMIFS(Expenses!$D$6:$D$2005,Expenses!$G$6:$G$2005,"Capital",Expenses!$A$6:$A$2005,"&gt;="&amp;D$5,Expenses!$A$6:$A$2005,"&lt;"&amp;EDATE(D$5,1))</f>
        <v>0</v>
      </c>
      <c r="E31" s="37">
        <f>SUMIFS(Expenses!$D$6:$D$2005,Expenses!$G$6:$G$2005,"Capital",Expenses!$A$6:$A$2005,"&gt;="&amp;E$5,Expenses!$A$6:$A$2005,"&lt;"&amp;EDATE(E$5,1))</f>
        <v>0</v>
      </c>
      <c r="F31" s="37">
        <f>SUMIFS(Expenses!$D$6:$D$2005,Expenses!$G$6:$G$2005,"Capital",Expenses!$A$6:$A$2005,"&gt;="&amp;F$5,Expenses!$A$6:$A$2005,"&lt;"&amp;EDATE(F$5,1))</f>
        <v>0</v>
      </c>
      <c r="G31" s="37">
        <f>SUMIFS(Expenses!$D$6:$D$2005,Expenses!$G$6:$G$2005,"Capital",Expenses!$A$6:$A$2005,"&gt;="&amp;G$5,Expenses!$A$6:$A$2005,"&lt;"&amp;EDATE(G$5,1))</f>
        <v>0</v>
      </c>
      <c r="H31" s="37">
        <f>SUMIFS(Expenses!$D$6:$D$2005,Expenses!$G$6:$G$2005,"Capital",Expenses!$A$6:$A$2005,"&gt;="&amp;H$5,Expenses!$A$6:$A$2005,"&lt;"&amp;EDATE(H$5,1))</f>
        <v>0</v>
      </c>
      <c r="I31" s="37">
        <f>SUMIFS(Expenses!$D$6:$D$2005,Expenses!$G$6:$G$2005,"Capital",Expenses!$A$6:$A$2005,"&gt;="&amp;I$5,Expenses!$A$6:$A$2005,"&lt;"&amp;EDATE(I$5,1))</f>
        <v>0</v>
      </c>
      <c r="J31" s="37">
        <f>SUMIFS(Expenses!$D$6:$D$2005,Expenses!$G$6:$G$2005,"Capital",Expenses!$A$6:$A$2005,"&gt;="&amp;J$5,Expenses!$A$6:$A$2005,"&lt;"&amp;EDATE(J$5,1))</f>
        <v>0</v>
      </c>
      <c r="K31" s="37">
        <f>SUMIFS(Expenses!$D$6:$D$2005,Expenses!$G$6:$G$2005,"Capital",Expenses!$A$6:$A$2005,"&gt;="&amp;K$5,Expenses!$A$6:$A$2005,"&lt;"&amp;EDATE(K$5,1))</f>
        <v>0</v>
      </c>
      <c r="L31" s="37">
        <f>SUMIFS(Expenses!$D$6:$D$2005,Expenses!$G$6:$G$2005,"Capital",Expenses!$A$6:$A$2005,"&gt;="&amp;L$5,Expenses!$A$6:$A$2005,"&lt;"&amp;EDATE(L$5,1))</f>
        <v>0</v>
      </c>
      <c r="M31" s="37">
        <f>SUMIFS(Expenses!$D$6:$D$2005,Expenses!$G$6:$G$2005,"Capital",Expenses!$A$6:$A$2005,"&gt;="&amp;M$5,Expenses!$A$6:$A$2005,"&lt;"&amp;EDATE(M$5,1))</f>
        <v>0</v>
      </c>
      <c r="N31" s="18">
        <f>SUM(B31:M31)</f>
        <v>0</v>
      </c>
    </row>
    <row r="32" spans="1:14" x14ac:dyDescent="0.25">
      <c r="A32" s="15" t="s">
        <v>162</v>
      </c>
      <c r="B32" s="37">
        <f>SUMIFS(Expenses!$D$6:$D$2005,Expenses!$G$6:$G$2005,"Owner",Expenses!$A$6:$A$2005,"&gt;="&amp;B$5,Expenses!$A$6:$A$2005,"&lt;"&amp;EDATE(B$5,1))</f>
        <v>0</v>
      </c>
      <c r="C32" s="37">
        <f>SUMIFS(Expenses!$D$6:$D$2005,Expenses!$G$6:$G$2005,"Owner",Expenses!$A$6:$A$2005,"&gt;="&amp;C$5,Expenses!$A$6:$A$2005,"&lt;"&amp;EDATE(C$5,1))</f>
        <v>0</v>
      </c>
      <c r="D32" s="37">
        <f>SUMIFS(Expenses!$D$6:$D$2005,Expenses!$G$6:$G$2005,"Owner",Expenses!$A$6:$A$2005,"&gt;="&amp;D$5,Expenses!$A$6:$A$2005,"&lt;"&amp;EDATE(D$5,1))</f>
        <v>0</v>
      </c>
      <c r="E32" s="37">
        <f>SUMIFS(Expenses!$D$6:$D$2005,Expenses!$G$6:$G$2005,"Owner",Expenses!$A$6:$A$2005,"&gt;="&amp;E$5,Expenses!$A$6:$A$2005,"&lt;"&amp;EDATE(E$5,1))</f>
        <v>0</v>
      </c>
      <c r="F32" s="37">
        <f>SUMIFS(Expenses!$D$6:$D$2005,Expenses!$G$6:$G$2005,"Owner",Expenses!$A$6:$A$2005,"&gt;="&amp;F$5,Expenses!$A$6:$A$2005,"&lt;"&amp;EDATE(F$5,1))</f>
        <v>0</v>
      </c>
      <c r="G32" s="37">
        <f>SUMIFS(Expenses!$D$6:$D$2005,Expenses!$G$6:$G$2005,"Owner",Expenses!$A$6:$A$2005,"&gt;="&amp;G$5,Expenses!$A$6:$A$2005,"&lt;"&amp;EDATE(G$5,1))</f>
        <v>0</v>
      </c>
      <c r="H32" s="37">
        <f>SUMIFS(Expenses!$D$6:$D$2005,Expenses!$G$6:$G$2005,"Owner",Expenses!$A$6:$A$2005,"&gt;="&amp;H$5,Expenses!$A$6:$A$2005,"&lt;"&amp;EDATE(H$5,1))</f>
        <v>0</v>
      </c>
      <c r="I32" s="37">
        <f>SUMIFS(Expenses!$D$6:$D$2005,Expenses!$G$6:$G$2005,"Owner",Expenses!$A$6:$A$2005,"&gt;="&amp;I$5,Expenses!$A$6:$A$2005,"&lt;"&amp;EDATE(I$5,1))</f>
        <v>0</v>
      </c>
      <c r="J32" s="37">
        <f>SUMIFS(Expenses!$D$6:$D$2005,Expenses!$G$6:$G$2005,"Owner",Expenses!$A$6:$A$2005,"&gt;="&amp;J$5,Expenses!$A$6:$A$2005,"&lt;"&amp;EDATE(J$5,1))</f>
        <v>0</v>
      </c>
      <c r="K32" s="37">
        <f>SUMIFS(Expenses!$D$6:$D$2005,Expenses!$G$6:$G$2005,"Owner",Expenses!$A$6:$A$2005,"&gt;="&amp;K$5,Expenses!$A$6:$A$2005,"&lt;"&amp;EDATE(K$5,1))</f>
        <v>0</v>
      </c>
      <c r="L32" s="37">
        <f>SUMIFS(Expenses!$D$6:$D$2005,Expenses!$G$6:$G$2005,"Owner",Expenses!$A$6:$A$2005,"&gt;="&amp;L$5,Expenses!$A$6:$A$2005,"&lt;"&amp;EDATE(L$5,1))</f>
        <v>0</v>
      </c>
      <c r="M32" s="37">
        <f>SUMIFS(Expenses!$D$6:$D$2005,Expenses!$G$6:$G$2005,"Owner",Expenses!$A$6:$A$2005,"&gt;="&amp;M$5,Expenses!$A$6:$A$2005,"&lt;"&amp;EDATE(M$5,1))</f>
        <v>0</v>
      </c>
      <c r="N32" s="18">
        <f>SUM(B32:M32)</f>
        <v>0</v>
      </c>
    </row>
    <row r="33" spans="1:14" x14ac:dyDescent="0.25">
      <c r="A33" s="15" t="s">
        <v>163</v>
      </c>
      <c r="B33" s="37">
        <f t="shared" ref="B33:N33" si="7">B28-B31-B32</f>
        <v>81180</v>
      </c>
      <c r="C33" s="37">
        <f t="shared" si="7"/>
        <v>0</v>
      </c>
      <c r="D33" s="37">
        <f t="shared" si="7"/>
        <v>0</v>
      </c>
      <c r="E33" s="37">
        <f t="shared" si="7"/>
        <v>0</v>
      </c>
      <c r="F33" s="37">
        <f t="shared" si="7"/>
        <v>0</v>
      </c>
      <c r="G33" s="37">
        <f t="shared" si="7"/>
        <v>0</v>
      </c>
      <c r="H33" s="37">
        <f t="shared" si="7"/>
        <v>0</v>
      </c>
      <c r="I33" s="37">
        <f t="shared" si="7"/>
        <v>0</v>
      </c>
      <c r="J33" s="37">
        <f t="shared" si="7"/>
        <v>0</v>
      </c>
      <c r="K33" s="37">
        <f t="shared" si="7"/>
        <v>0</v>
      </c>
      <c r="L33" s="37">
        <f t="shared" si="7"/>
        <v>0</v>
      </c>
      <c r="M33" s="37">
        <f t="shared" si="7"/>
        <v>0</v>
      </c>
      <c r="N33" s="18">
        <f t="shared" si="7"/>
        <v>81180</v>
      </c>
    </row>
    <row r="34" spans="1:14" x14ac:dyDescent="0.25">
      <c r="A34" s="9" t="s">
        <v>164</v>
      </c>
      <c r="B34" s="18">
        <f>SUM($B$28:B28)</f>
        <v>81180</v>
      </c>
      <c r="C34" s="18">
        <f>SUM($B$28:C28)</f>
        <v>81180</v>
      </c>
      <c r="D34" s="18">
        <f>SUM($B$28:D28)</f>
        <v>81180</v>
      </c>
      <c r="E34" s="18">
        <f>SUM($B$28:E28)</f>
        <v>81180</v>
      </c>
      <c r="F34" s="18">
        <f>SUM($B$28:F28)</f>
        <v>81180</v>
      </c>
      <c r="G34" s="18">
        <f>SUM($B$28:G28)</f>
        <v>81180</v>
      </c>
      <c r="H34" s="18">
        <f>SUM($B$28:H28)</f>
        <v>81180</v>
      </c>
      <c r="I34" s="18">
        <f>SUM($B$28:I28)</f>
        <v>81180</v>
      </c>
      <c r="J34" s="18">
        <f>SUM($B$28:J28)</f>
        <v>81180</v>
      </c>
      <c r="K34" s="18">
        <f>SUM($B$28:K28)</f>
        <v>81180</v>
      </c>
      <c r="L34" s="18">
        <f>SUM($B$28:L28)</f>
        <v>81180</v>
      </c>
      <c r="M34" s="18">
        <f>SUM($B$28:M28)</f>
        <v>81180</v>
      </c>
      <c r="N34" s="18">
        <f>M34</f>
        <v>81180</v>
      </c>
    </row>
    <row r="35" spans="1:14" x14ac:dyDescent="0.25">
      <c r="A35" s="13" t="s">
        <v>165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x14ac:dyDescent="0.25">
      <c r="A36" s="15" t="s">
        <v>37</v>
      </c>
      <c r="B36" s="37">
        <f t="shared" ref="B36:N36" si="8">IF(B8=0,0,B10/B8)</f>
        <v>540.1197604790419</v>
      </c>
      <c r="C36" s="37">
        <f t="shared" si="8"/>
        <v>0</v>
      </c>
      <c r="D36" s="37">
        <f t="shared" si="8"/>
        <v>0</v>
      </c>
      <c r="E36" s="37">
        <f t="shared" si="8"/>
        <v>0</v>
      </c>
      <c r="F36" s="37">
        <f t="shared" si="8"/>
        <v>0</v>
      </c>
      <c r="G36" s="37">
        <f t="shared" si="8"/>
        <v>0</v>
      </c>
      <c r="H36" s="37">
        <f t="shared" si="8"/>
        <v>0</v>
      </c>
      <c r="I36" s="37">
        <f t="shared" si="8"/>
        <v>0</v>
      </c>
      <c r="J36" s="37">
        <f t="shared" si="8"/>
        <v>0</v>
      </c>
      <c r="K36" s="37">
        <f t="shared" si="8"/>
        <v>0</v>
      </c>
      <c r="L36" s="37">
        <f t="shared" si="8"/>
        <v>0</v>
      </c>
      <c r="M36" s="37">
        <f t="shared" si="8"/>
        <v>0</v>
      </c>
      <c r="N36" s="18">
        <f t="shared" si="8"/>
        <v>540.1197604790419</v>
      </c>
    </row>
    <row r="37" spans="1:14" x14ac:dyDescent="0.25">
      <c r="A37" s="15" t="s">
        <v>166</v>
      </c>
      <c r="B37" s="37">
        <f t="shared" ref="B37:N37" si="9">IF(B8+B9=0,0,(B14+B15)/(B8+B9))</f>
        <v>0</v>
      </c>
      <c r="C37" s="37">
        <f t="shared" si="9"/>
        <v>0</v>
      </c>
      <c r="D37" s="37">
        <f t="shared" si="9"/>
        <v>0</v>
      </c>
      <c r="E37" s="37">
        <f t="shared" si="9"/>
        <v>0</v>
      </c>
      <c r="F37" s="37">
        <f t="shared" si="9"/>
        <v>0</v>
      </c>
      <c r="G37" s="37">
        <f t="shared" si="9"/>
        <v>0</v>
      </c>
      <c r="H37" s="37">
        <f t="shared" si="9"/>
        <v>0</v>
      </c>
      <c r="I37" s="37">
        <f t="shared" si="9"/>
        <v>0</v>
      </c>
      <c r="J37" s="37">
        <f t="shared" si="9"/>
        <v>0</v>
      </c>
      <c r="K37" s="37">
        <f t="shared" si="9"/>
        <v>0</v>
      </c>
      <c r="L37" s="37">
        <f t="shared" si="9"/>
        <v>0</v>
      </c>
      <c r="M37" s="37">
        <f t="shared" si="9"/>
        <v>0</v>
      </c>
      <c r="N37" s="18">
        <f t="shared" si="9"/>
        <v>0</v>
      </c>
    </row>
    <row r="38" spans="1:14" x14ac:dyDescent="0.25">
      <c r="A38" s="15" t="s">
        <v>167</v>
      </c>
      <c r="B38" s="37">
        <f>Settings!$B$9</f>
        <v>150</v>
      </c>
      <c r="C38" s="37">
        <f>Settings!$B$9</f>
        <v>150</v>
      </c>
      <c r="D38" s="37">
        <f>Settings!$B$9</f>
        <v>150</v>
      </c>
      <c r="E38" s="37">
        <f>Settings!$B$9</f>
        <v>150</v>
      </c>
      <c r="F38" s="37">
        <f>Settings!$B$9</f>
        <v>150</v>
      </c>
      <c r="G38" s="37">
        <f>Settings!$B$9</f>
        <v>150</v>
      </c>
      <c r="H38" s="37">
        <f>Settings!$B$9</f>
        <v>150</v>
      </c>
      <c r="I38" s="37">
        <f>Settings!$B$9</f>
        <v>150</v>
      </c>
      <c r="J38" s="37">
        <f>Settings!$B$9</f>
        <v>150</v>
      </c>
      <c r="K38" s="37">
        <f>Settings!$B$9</f>
        <v>150</v>
      </c>
      <c r="L38" s="37">
        <f>Settings!$B$9</f>
        <v>150</v>
      </c>
      <c r="M38" s="37">
        <f>Settings!$B$9</f>
        <v>150</v>
      </c>
      <c r="N38" s="18">
        <f>Settings!$B$9</f>
        <v>150</v>
      </c>
    </row>
    <row r="39" spans="1:14" x14ac:dyDescent="0.25">
      <c r="A39" s="15" t="s">
        <v>36</v>
      </c>
      <c r="B39" s="40">
        <f t="shared" ref="B39:N39" si="10">IF(B7=0,0,B8/B7)</f>
        <v>41.75</v>
      </c>
      <c r="C39" s="40">
        <f t="shared" si="10"/>
        <v>0</v>
      </c>
      <c r="D39" s="40">
        <f t="shared" si="10"/>
        <v>0</v>
      </c>
      <c r="E39" s="40">
        <f t="shared" si="10"/>
        <v>0</v>
      </c>
      <c r="F39" s="40">
        <f t="shared" si="10"/>
        <v>0</v>
      </c>
      <c r="G39" s="40">
        <f t="shared" si="10"/>
        <v>0</v>
      </c>
      <c r="H39" s="40">
        <f t="shared" si="10"/>
        <v>0</v>
      </c>
      <c r="I39" s="40">
        <f t="shared" si="10"/>
        <v>0</v>
      </c>
      <c r="J39" s="40">
        <f t="shared" si="10"/>
        <v>0</v>
      </c>
      <c r="K39" s="40">
        <f t="shared" si="10"/>
        <v>0</v>
      </c>
      <c r="L39" s="40">
        <f t="shared" si="10"/>
        <v>0</v>
      </c>
      <c r="M39" s="40">
        <f t="shared" si="10"/>
        <v>0</v>
      </c>
      <c r="N39" s="41">
        <f t="shared" si="10"/>
        <v>41.75</v>
      </c>
    </row>
    <row r="40" spans="1:14" x14ac:dyDescent="0.25">
      <c r="A40" s="15" t="s">
        <v>168</v>
      </c>
      <c r="B40" s="37">
        <f>IF(B7&gt;0,Settings!$B$7,0)</f>
        <v>1055</v>
      </c>
      <c r="C40" s="37">
        <f>IF(C7&gt;0,Settings!$B$7,0)</f>
        <v>0</v>
      </c>
      <c r="D40" s="37">
        <f>IF(D7&gt;0,Settings!$B$7,0)</f>
        <v>0</v>
      </c>
      <c r="E40" s="37">
        <f>IF(E7&gt;0,Settings!$B$7,0)</f>
        <v>0</v>
      </c>
      <c r="F40" s="37">
        <f>IF(F7&gt;0,Settings!$B$7,0)</f>
        <v>0</v>
      </c>
      <c r="G40" s="37">
        <f>IF(G7&gt;0,Settings!$B$7,0)</f>
        <v>0</v>
      </c>
      <c r="H40" s="37">
        <f>IF(H7&gt;0,Settings!$B$7,0)</f>
        <v>0</v>
      </c>
      <c r="I40" s="37">
        <f>IF(I7&gt;0,Settings!$B$7,0)</f>
        <v>0</v>
      </c>
      <c r="J40" s="37">
        <f>IF(J7&gt;0,Settings!$B$7,0)</f>
        <v>0</v>
      </c>
      <c r="K40" s="37">
        <f>IF(K7&gt;0,Settings!$B$7,0)</f>
        <v>0</v>
      </c>
      <c r="L40" s="37">
        <f>IF(L7&gt;0,Settings!$B$7,0)</f>
        <v>0</v>
      </c>
      <c r="M40" s="37">
        <f>IF(M7&gt;0,Settings!$B$7,0)</f>
        <v>0</v>
      </c>
      <c r="N40" s="18">
        <f>SUM(B40:M40)</f>
        <v>1055</v>
      </c>
    </row>
    <row r="41" spans="1:14" x14ac:dyDescent="0.25">
      <c r="A41" s="15" t="s">
        <v>39</v>
      </c>
      <c r="B41" s="38">
        <f t="shared" ref="B41:N41" si="11">IF(B40=0,0,B8/B40)</f>
        <v>0.15829383886255924</v>
      </c>
      <c r="C41" s="38">
        <f t="shared" si="11"/>
        <v>0</v>
      </c>
      <c r="D41" s="38">
        <f t="shared" si="11"/>
        <v>0</v>
      </c>
      <c r="E41" s="38">
        <f t="shared" si="11"/>
        <v>0</v>
      </c>
      <c r="F41" s="38">
        <f t="shared" si="11"/>
        <v>0</v>
      </c>
      <c r="G41" s="38">
        <f t="shared" si="11"/>
        <v>0</v>
      </c>
      <c r="H41" s="38">
        <f t="shared" si="11"/>
        <v>0</v>
      </c>
      <c r="I41" s="38">
        <f t="shared" si="11"/>
        <v>0</v>
      </c>
      <c r="J41" s="38">
        <f t="shared" si="11"/>
        <v>0</v>
      </c>
      <c r="K41" s="38">
        <f t="shared" si="11"/>
        <v>0</v>
      </c>
      <c r="L41" s="38">
        <f t="shared" si="11"/>
        <v>0</v>
      </c>
      <c r="M41" s="38">
        <f t="shared" si="11"/>
        <v>0</v>
      </c>
      <c r="N41" s="39">
        <f t="shared" si="11"/>
        <v>0.15829383886255924</v>
      </c>
    </row>
    <row r="42" spans="1:14" x14ac:dyDescent="0.25">
      <c r="A42" s="15" t="s">
        <v>40</v>
      </c>
      <c r="B42" s="37">
        <f>COUNTIFS('Daily Sales'!$A$6:$A$1005,"&gt;="&amp;B$5,'Daily Sales'!$A$6:$A$1005,"&lt;"&amp;EDATE(B$5,1),'Daily Sales'!$O$6:$O$1005,"CHECK")</f>
        <v>0</v>
      </c>
      <c r="C42" s="37">
        <f>COUNTIFS('Daily Sales'!$A$6:$A$1005,"&gt;="&amp;C$5,'Daily Sales'!$A$6:$A$1005,"&lt;"&amp;EDATE(C$5,1),'Daily Sales'!$O$6:$O$1005,"CHECK")</f>
        <v>0</v>
      </c>
      <c r="D42" s="37">
        <f>COUNTIFS('Daily Sales'!$A$6:$A$1005,"&gt;="&amp;D$5,'Daily Sales'!$A$6:$A$1005,"&lt;"&amp;EDATE(D$5,1),'Daily Sales'!$O$6:$O$1005,"CHECK")</f>
        <v>0</v>
      </c>
      <c r="E42" s="37">
        <f>COUNTIFS('Daily Sales'!$A$6:$A$1005,"&gt;="&amp;E$5,'Daily Sales'!$A$6:$A$1005,"&lt;"&amp;EDATE(E$5,1),'Daily Sales'!$O$6:$O$1005,"CHECK")</f>
        <v>0</v>
      </c>
      <c r="F42" s="37">
        <f>COUNTIFS('Daily Sales'!$A$6:$A$1005,"&gt;="&amp;F$5,'Daily Sales'!$A$6:$A$1005,"&lt;"&amp;EDATE(F$5,1),'Daily Sales'!$O$6:$O$1005,"CHECK")</f>
        <v>0</v>
      </c>
      <c r="G42" s="37">
        <f>COUNTIFS('Daily Sales'!$A$6:$A$1005,"&gt;="&amp;G$5,'Daily Sales'!$A$6:$A$1005,"&lt;"&amp;EDATE(G$5,1),'Daily Sales'!$O$6:$O$1005,"CHECK")</f>
        <v>0</v>
      </c>
      <c r="H42" s="37">
        <f>COUNTIFS('Daily Sales'!$A$6:$A$1005,"&gt;="&amp;H$5,'Daily Sales'!$A$6:$A$1005,"&lt;"&amp;EDATE(H$5,1),'Daily Sales'!$O$6:$O$1005,"CHECK")</f>
        <v>0</v>
      </c>
      <c r="I42" s="37">
        <f>COUNTIFS('Daily Sales'!$A$6:$A$1005,"&gt;="&amp;I$5,'Daily Sales'!$A$6:$A$1005,"&lt;"&amp;EDATE(I$5,1),'Daily Sales'!$O$6:$O$1005,"CHECK")</f>
        <v>0</v>
      </c>
      <c r="J42" s="37">
        <f>COUNTIFS('Daily Sales'!$A$6:$A$1005,"&gt;="&amp;J$5,'Daily Sales'!$A$6:$A$1005,"&lt;"&amp;EDATE(J$5,1),'Daily Sales'!$O$6:$O$1005,"CHECK")</f>
        <v>0</v>
      </c>
      <c r="K42" s="37">
        <f>COUNTIFS('Daily Sales'!$A$6:$A$1005,"&gt;="&amp;K$5,'Daily Sales'!$A$6:$A$1005,"&lt;"&amp;EDATE(K$5,1),'Daily Sales'!$O$6:$O$1005,"CHECK")</f>
        <v>0</v>
      </c>
      <c r="L42" s="37">
        <f>COUNTIFS('Daily Sales'!$A$6:$A$1005,"&gt;="&amp;L$5,'Daily Sales'!$A$6:$A$1005,"&lt;"&amp;EDATE(L$5,1),'Daily Sales'!$O$6:$O$1005,"CHECK")</f>
        <v>0</v>
      </c>
      <c r="M42" s="37">
        <f>COUNTIFS('Daily Sales'!$A$6:$A$1005,"&gt;="&amp;M$5,'Daily Sales'!$A$6:$A$1005,"&lt;"&amp;EDATE(M$5,1),'Daily Sales'!$O$6:$O$1005,"CHECK")</f>
        <v>0</v>
      </c>
      <c r="N42" s="18">
        <f>SUM(B42:M42)</f>
        <v>0</v>
      </c>
    </row>
    <row r="43" spans="1:14" x14ac:dyDescent="0.25">
      <c r="A43" s="15" t="s">
        <v>41</v>
      </c>
      <c r="B43" s="37">
        <f>COUNTIFS('Daily Sales'!$A$6:$A$1005,"&gt;="&amp;B$5,'Daily Sales'!$A$6:$A$1005,"&lt;"&amp;EDATE(B$5,1),'Daily Sales'!$Q$6:$Q$1005,"CHECK")</f>
        <v>0</v>
      </c>
      <c r="C43" s="37">
        <f>COUNTIFS('Daily Sales'!$A$6:$A$1005,"&gt;="&amp;C$5,'Daily Sales'!$A$6:$A$1005,"&lt;"&amp;EDATE(C$5,1),'Daily Sales'!$Q$6:$Q$1005,"CHECK")</f>
        <v>0</v>
      </c>
      <c r="D43" s="37">
        <f>COUNTIFS('Daily Sales'!$A$6:$A$1005,"&gt;="&amp;D$5,'Daily Sales'!$A$6:$A$1005,"&lt;"&amp;EDATE(D$5,1),'Daily Sales'!$Q$6:$Q$1005,"CHECK")</f>
        <v>0</v>
      </c>
      <c r="E43" s="37">
        <f>COUNTIFS('Daily Sales'!$A$6:$A$1005,"&gt;="&amp;E$5,'Daily Sales'!$A$6:$A$1005,"&lt;"&amp;EDATE(E$5,1),'Daily Sales'!$Q$6:$Q$1005,"CHECK")</f>
        <v>0</v>
      </c>
      <c r="F43" s="37">
        <f>COUNTIFS('Daily Sales'!$A$6:$A$1005,"&gt;="&amp;F$5,'Daily Sales'!$A$6:$A$1005,"&lt;"&amp;EDATE(F$5,1),'Daily Sales'!$Q$6:$Q$1005,"CHECK")</f>
        <v>0</v>
      </c>
      <c r="G43" s="37">
        <f>COUNTIFS('Daily Sales'!$A$6:$A$1005,"&gt;="&amp;G$5,'Daily Sales'!$A$6:$A$1005,"&lt;"&amp;EDATE(G$5,1),'Daily Sales'!$Q$6:$Q$1005,"CHECK")</f>
        <v>0</v>
      </c>
      <c r="H43" s="37">
        <f>COUNTIFS('Daily Sales'!$A$6:$A$1005,"&gt;="&amp;H$5,'Daily Sales'!$A$6:$A$1005,"&lt;"&amp;EDATE(H$5,1),'Daily Sales'!$Q$6:$Q$1005,"CHECK")</f>
        <v>0</v>
      </c>
      <c r="I43" s="37">
        <f>COUNTIFS('Daily Sales'!$A$6:$A$1005,"&gt;="&amp;I$5,'Daily Sales'!$A$6:$A$1005,"&lt;"&amp;EDATE(I$5,1),'Daily Sales'!$Q$6:$Q$1005,"CHECK")</f>
        <v>0</v>
      </c>
      <c r="J43" s="37">
        <f>COUNTIFS('Daily Sales'!$A$6:$A$1005,"&gt;="&amp;J$5,'Daily Sales'!$A$6:$A$1005,"&lt;"&amp;EDATE(J$5,1),'Daily Sales'!$Q$6:$Q$1005,"CHECK")</f>
        <v>0</v>
      </c>
      <c r="K43" s="37">
        <f>COUNTIFS('Daily Sales'!$A$6:$A$1005,"&gt;="&amp;K$5,'Daily Sales'!$A$6:$A$1005,"&lt;"&amp;EDATE(K$5,1),'Daily Sales'!$Q$6:$Q$1005,"CHECK")</f>
        <v>0</v>
      </c>
      <c r="L43" s="37">
        <f>COUNTIFS('Daily Sales'!$A$6:$A$1005,"&gt;="&amp;L$5,'Daily Sales'!$A$6:$A$1005,"&lt;"&amp;EDATE(L$5,1),'Daily Sales'!$Q$6:$Q$1005,"CHECK")</f>
        <v>0</v>
      </c>
      <c r="M43" s="37">
        <f>COUNTIFS('Daily Sales'!$A$6:$A$1005,"&gt;="&amp;M$5,'Daily Sales'!$A$6:$A$1005,"&lt;"&amp;EDATE(M$5,1),'Daily Sales'!$Q$6:$Q$1005,"CHECK")</f>
        <v>0</v>
      </c>
      <c r="N43" s="18">
        <f>SUM(B43:M43)</f>
        <v>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Dashboard</vt:lpstr>
      <vt:lpstr>Settings</vt:lpstr>
      <vt:lpstr>Daily Sales</vt:lpstr>
      <vt:lpstr>Expenses</vt:lpstr>
      <vt:lpstr>Loan</vt:lpstr>
      <vt:lpstr>Monthly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Tharusha </cp:lastModifiedBy>
  <cp:revision>1</cp:revision>
  <dcterms:created xsi:type="dcterms:W3CDTF">2026-10-09T06:12:15Z</dcterms:created>
  <dcterms:modified xsi:type="dcterms:W3CDTF">2026-10-09T06:19:44Z</dcterms:modified>
</cp:coreProperties>
</file>